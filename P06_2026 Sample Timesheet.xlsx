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rmishra\Downloads\"/>
    </mc:Choice>
  </mc:AlternateContent>
  <xr:revisionPtr revIDLastSave="20" documentId="13_ncr:1_{A6044EA7-95E2-437A-BCA9-DC344F197D53}" xr6:coauthVersionLast="47" xr6:coauthVersionMax="47" xr10:uidLastSave="{BD3D6F29-6EE7-4954-ADFC-2E1E6ED314FF}"/>
  <bookViews>
    <workbookView xWindow="-108" yWindow="-108" windowWidth="23256" windowHeight="12456" tabRatio="842" xr2:uid="{C5C048FC-D91E-4A1B-BDE0-DF2F404031D1}"/>
  </bookViews>
  <sheets>
    <sheet name="May_2026_Timesheet" sheetId="4" r:id="rId1"/>
    <sheet name="Sheet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4" l="1"/>
  <c r="AO3" i="4"/>
  <c r="AN3" i="4"/>
  <c r="AM3" i="4"/>
  <c r="AL3" i="4"/>
  <c r="AR3" i="4" l="1"/>
  <c r="AQ3" i="4"/>
  <c r="AQ1" i="4" s="1"/>
  <c r="AO1" i="4"/>
  <c r="AP1" i="4"/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</calcChain>
</file>

<file path=xl/sharedStrings.xml><?xml version="1.0" encoding="utf-8"?>
<sst xmlns="http://schemas.openxmlformats.org/spreadsheetml/2006/main" count="3016" uniqueCount="612">
  <si>
    <t>Sl.No</t>
  </si>
  <si>
    <t>Infinite _Emp id</t>
  </si>
  <si>
    <t xml:space="preserve">Name </t>
  </si>
  <si>
    <t>Project</t>
  </si>
  <si>
    <t>Home Location</t>
  </si>
  <si>
    <t>Work_ Location</t>
  </si>
  <si>
    <t>Mon</t>
  </si>
  <si>
    <t>Tue</t>
  </si>
  <si>
    <t>Wed</t>
  </si>
  <si>
    <t>Thu</t>
  </si>
  <si>
    <t>Fri</t>
  </si>
  <si>
    <t>Sat</t>
  </si>
  <si>
    <t>Sun</t>
  </si>
  <si>
    <t>ND</t>
  </si>
  <si>
    <t>L</t>
  </si>
  <si>
    <t>BD</t>
  </si>
  <si>
    <t>AD</t>
  </si>
  <si>
    <t>NS</t>
  </si>
  <si>
    <t>All</t>
  </si>
  <si>
    <t>Total Billable Days</t>
  </si>
  <si>
    <t>Remark</t>
  </si>
  <si>
    <t xml:space="preserve">Present </t>
  </si>
  <si>
    <t>P</t>
  </si>
  <si>
    <t>Billable</t>
  </si>
  <si>
    <t>Public Holiday</t>
  </si>
  <si>
    <t>PH</t>
  </si>
  <si>
    <t>Non - Billable</t>
  </si>
  <si>
    <t>Worked on PH / Weekend</t>
  </si>
  <si>
    <t>Leave</t>
  </si>
  <si>
    <t>Weekend</t>
  </si>
  <si>
    <t>Nightshifts</t>
  </si>
  <si>
    <t>YES</t>
  </si>
  <si>
    <t>NO</t>
  </si>
  <si>
    <t xml:space="preserve">Not applicable </t>
  </si>
  <si>
    <t>NA</t>
  </si>
  <si>
    <t>Ensure to follow the below points while you enter the time sheet:</t>
  </si>
  <si>
    <t>Yes</t>
  </si>
  <si>
    <t>No</t>
  </si>
  <si>
    <t>1) Update the location you worked during the timesheet period.  If you have worked in multiple locations then list down all in separate rows.</t>
  </si>
  <si>
    <t>2) Please mark holidays &amp; weekends based on the location you worked in and not your base location. Nokia India holiday calendar attached for reference. please mention as “PH”</t>
  </si>
  <si>
    <t>3) Add “YES” under data card usage if you are using a data card that is approved by DM. else mention as “NO”.</t>
  </si>
  <si>
    <t>4) Update the leave data &amp; ensure the same is applied in Infinite BizX Tool. mention as “L”</t>
  </si>
  <si>
    <t>5) Update extra days worked during weekends and public holidays. Mention as “AD”</t>
  </si>
  <si>
    <t>5) Update Night Shift days. please mention as “NS”</t>
  </si>
  <si>
    <t>6) Highlight in Blue color flelds are mandate to fill</t>
  </si>
  <si>
    <t xml:space="preserve">7) kindly use Remarks colomn to provide any inputs if you find any challenges in filling the details. </t>
  </si>
  <si>
    <t>S. No</t>
  </si>
  <si>
    <t>Emp ID</t>
  </si>
  <si>
    <t>Nokia_ID</t>
  </si>
  <si>
    <t>Name</t>
  </si>
  <si>
    <t>Client</t>
  </si>
  <si>
    <t>MIS classification</t>
  </si>
  <si>
    <t>Project_Referanvce</t>
  </si>
  <si>
    <t>Prashanth Muniswamy</t>
  </si>
  <si>
    <t>Nokia</t>
  </si>
  <si>
    <t>ADMIN</t>
  </si>
  <si>
    <t>Kapil Kushwaha</t>
  </si>
  <si>
    <t>Analytics</t>
  </si>
  <si>
    <t>Pallika Suman Kumar</t>
  </si>
  <si>
    <t>Shabad Balakrishna Reddy</t>
  </si>
  <si>
    <t>Aswini Kalapeeti</t>
  </si>
  <si>
    <t>Prasad Beegala Muni Venkata Subramanyam</t>
  </si>
  <si>
    <t>Hemanth Kumar Kondamuda</t>
  </si>
  <si>
    <t>Sethumadhavan Unnikrishnan</t>
  </si>
  <si>
    <t>Rajib Mohanty</t>
  </si>
  <si>
    <t>Sandeep Maurya</t>
  </si>
  <si>
    <t>Akriti Malla</t>
  </si>
  <si>
    <t>Lovely Singh</t>
  </si>
  <si>
    <t>S Vijay Krisnaa</t>
  </si>
  <si>
    <t>K Beerappa</t>
  </si>
  <si>
    <t>Netact</t>
  </si>
  <si>
    <t>Non Billable</t>
  </si>
  <si>
    <t>Anil Kumar Thanjavuuru</t>
  </si>
  <si>
    <t>Nitesh Kumar Mishra</t>
  </si>
  <si>
    <t>Atul Kumar</t>
  </si>
  <si>
    <t>Pranjal Srivastava</t>
  </si>
  <si>
    <t>Sumit Kumar</t>
  </si>
  <si>
    <t>Waquar Ahmed</t>
  </si>
  <si>
    <t>Shishir Kumar Mohanty</t>
  </si>
  <si>
    <t>Ashis Mahawar</t>
  </si>
  <si>
    <t>Rohit Kumar</t>
  </si>
  <si>
    <t>Vinay Kumar</t>
  </si>
  <si>
    <t>Kumar Sumit</t>
  </si>
  <si>
    <t>Rajiv Ranjan</t>
  </si>
  <si>
    <t>Anil Kumar</t>
  </si>
  <si>
    <t>Satish Kumar Agrawal</t>
  </si>
  <si>
    <t>Shashanker Srivatsava</t>
  </si>
  <si>
    <t>Vineet Bhimrao Wankhede</t>
  </si>
  <si>
    <t>Bhupendra Singh</t>
  </si>
  <si>
    <t>Kamble Rahul Sarjerao</t>
  </si>
  <si>
    <t>SBC</t>
  </si>
  <si>
    <t>Rakesh Singh Yadav</t>
  </si>
  <si>
    <t>BSNL FP Engagement</t>
  </si>
  <si>
    <t>BSNL</t>
  </si>
  <si>
    <t>Srishti</t>
  </si>
  <si>
    <t>BSS</t>
  </si>
  <si>
    <t>Manish Kumar Yadav</t>
  </si>
  <si>
    <t>Rajesh Mittal</t>
  </si>
  <si>
    <t>Nitish Sharma</t>
  </si>
  <si>
    <t>Tushar Sinha</t>
  </si>
  <si>
    <t>Mohit Vohra</t>
  </si>
  <si>
    <t>Medha Vats</t>
  </si>
  <si>
    <t>Ratish C Menon</t>
  </si>
  <si>
    <t>Pankaj Kandpal</t>
  </si>
  <si>
    <t>Abhishek Pandey</t>
  </si>
  <si>
    <t>Vineet Kumar</t>
  </si>
  <si>
    <t>Neeraj Rana</t>
  </si>
  <si>
    <t>Avishek Ghosal</t>
  </si>
  <si>
    <t>Prabal Aggrawal</t>
  </si>
  <si>
    <t>M R Praveen</t>
  </si>
  <si>
    <t xml:space="preserve">Cloud </t>
  </si>
  <si>
    <t>M Ravikumar</t>
  </si>
  <si>
    <t>Murugan Karunanithi</t>
  </si>
  <si>
    <t>Manas Ranjan Biswal</t>
  </si>
  <si>
    <t>Venkata Mahesh Kotha</t>
  </si>
  <si>
    <t>Mohit Pandey</t>
  </si>
  <si>
    <t>Mohammed Zaffar Ali A</t>
  </si>
  <si>
    <t>Kamalakannan Sanjeevan</t>
  </si>
  <si>
    <t>Rama Rao T</t>
  </si>
  <si>
    <t>Kiran Kumar Murari</t>
  </si>
  <si>
    <t>Harish Dhandapani</t>
  </si>
  <si>
    <t>Sagi Prasanna Raju</t>
  </si>
  <si>
    <t>Badigenjala Narasimhulu</t>
  </si>
  <si>
    <t>Pallaki Krishnakanth Reddy</t>
  </si>
  <si>
    <t>Shaik Jainullahpeer</t>
  </si>
  <si>
    <t>Mohammed Arif C</t>
  </si>
  <si>
    <t>Cloud</t>
  </si>
  <si>
    <t>Manickaraja P</t>
  </si>
  <si>
    <t>Kiran Kumar Kantubotu</t>
  </si>
  <si>
    <t>Sudharsan</t>
  </si>
  <si>
    <t>Ghanta Siva Prasad</t>
  </si>
  <si>
    <t>E Sivanesaprabu</t>
  </si>
  <si>
    <t>Ashish Gokhe</t>
  </si>
  <si>
    <t>Rahul Nuwal</t>
  </si>
  <si>
    <t>Jampala Hareesh</t>
  </si>
  <si>
    <t>Venkatapatiraj</t>
  </si>
  <si>
    <t>Rajasekhar Reddy</t>
  </si>
  <si>
    <t>Somen Kumaresh Pattanayak</t>
  </si>
  <si>
    <t>Jayakrishna kavali</t>
  </si>
  <si>
    <t>Sakinala Prabhanjan</t>
  </si>
  <si>
    <t>khasim peer mohammad</t>
  </si>
  <si>
    <t>Lokit Dave</t>
  </si>
  <si>
    <t>Shalish Kumar T K</t>
  </si>
  <si>
    <t>Bejavada Kondarao Rao</t>
  </si>
  <si>
    <t>Nagaraju Kappala</t>
  </si>
  <si>
    <t>Kshitiz Joshi</t>
  </si>
  <si>
    <t>Deepak Vaidya</t>
  </si>
  <si>
    <t>GCC</t>
  </si>
  <si>
    <t>GCC - Support</t>
  </si>
  <si>
    <t>VLS Ramesh Gandikota</t>
  </si>
  <si>
    <t>Sathish Hariharan</t>
  </si>
  <si>
    <t>Siva Murugesan</t>
  </si>
  <si>
    <t>Shanmukha Babu Sadineni</t>
  </si>
  <si>
    <t>Pradeep Kumar Reddy Madireddy</t>
  </si>
  <si>
    <t>Akkarapaka Naveen Kumar</t>
  </si>
  <si>
    <t>GCC - Vitalsuite Care</t>
  </si>
  <si>
    <t>Prashanth Xavier</t>
  </si>
  <si>
    <t>GCC - DRA Support_Delhi_ALU</t>
  </si>
  <si>
    <t>Saju Kunjumon</t>
  </si>
  <si>
    <t>Security</t>
  </si>
  <si>
    <t>Muralikumar Kamal Kishore</t>
  </si>
  <si>
    <t>GCC - MRF_Delhi_ALU</t>
  </si>
  <si>
    <t>Sachinkumar R. Kupate</t>
  </si>
  <si>
    <t>NetAct</t>
  </si>
  <si>
    <t>S.Bhargav</t>
  </si>
  <si>
    <t>Anjana M</t>
  </si>
  <si>
    <t>A Rizwan Kareem</t>
  </si>
  <si>
    <t>Neelam Vignesh</t>
  </si>
  <si>
    <t>Dumpalapudi Sarat Chandra</t>
  </si>
  <si>
    <t>Syed Shakeeb</t>
  </si>
  <si>
    <t>Shelendra Kumar Sharma</t>
  </si>
  <si>
    <t>GCC - SBC  support</t>
  </si>
  <si>
    <t>Anish Kumar U</t>
  </si>
  <si>
    <t>MD Wasim Raja</t>
  </si>
  <si>
    <t>Asad Khan</t>
  </si>
  <si>
    <t>Vikas Chauhan</t>
  </si>
  <si>
    <t xml:space="preserve">Jayesh Suresh </t>
  </si>
  <si>
    <t>Abhisek Kumar</t>
  </si>
  <si>
    <t>GCC - SBC  support</t>
  </si>
  <si>
    <t xml:space="preserve">Manikanta Raju Poranki                                  </t>
  </si>
  <si>
    <t>SON</t>
  </si>
  <si>
    <t>Uthira Kumari A</t>
  </si>
  <si>
    <t>Edan Castle K</t>
  </si>
  <si>
    <t>Suresh Victor</t>
  </si>
  <si>
    <t>Ramsundar Kanagasabai</t>
  </si>
  <si>
    <t>Devanshu sharma</t>
  </si>
  <si>
    <t>GCC-Charging system_ALU</t>
  </si>
  <si>
    <t>MD Iftekhar Alam</t>
  </si>
  <si>
    <t>Srikanth Reddy Pandilapali</t>
  </si>
  <si>
    <t>GCC Banglore_ALU</t>
  </si>
  <si>
    <t>Ajay Melkani</t>
  </si>
  <si>
    <t>Prince Garg</t>
  </si>
  <si>
    <t>Prashant Garkoti</t>
  </si>
  <si>
    <t>Hiteshwar Singh</t>
  </si>
  <si>
    <t>Gurucharan Mahto</t>
  </si>
  <si>
    <t>Manas Ranjan Mallick</t>
  </si>
  <si>
    <t>Rajiv kumar</t>
  </si>
  <si>
    <t>Gajendra Sharma</t>
  </si>
  <si>
    <t>Anuj Hooda</t>
  </si>
  <si>
    <t>Rakesh Kumar Bandaru</t>
  </si>
  <si>
    <t>Vikas Metla</t>
  </si>
  <si>
    <t xml:space="preserve">Madala Vandanna </t>
  </si>
  <si>
    <t>Varun Kumar</t>
  </si>
  <si>
    <t>GCC-PCRF_ALU</t>
  </si>
  <si>
    <t>Sumit Kumar Shaw</t>
  </si>
  <si>
    <t>Yashwant Avasthi</t>
  </si>
  <si>
    <t>Rahul Kumar</t>
  </si>
  <si>
    <t>GCC - Netact care</t>
  </si>
  <si>
    <t>Venkatesh Valluri</t>
  </si>
  <si>
    <t>SANTHANU SEEMA SASEENDRAN</t>
  </si>
  <si>
    <t>GCC - Netact Care</t>
  </si>
  <si>
    <t>Gandharv Mohan Saini</t>
  </si>
  <si>
    <t>Zeeshan Ali</t>
  </si>
  <si>
    <t>V Akhil</t>
  </si>
  <si>
    <t>Rahul Singla</t>
  </si>
  <si>
    <t>GS - DNS, PCRF, SDM</t>
  </si>
  <si>
    <t>GS</t>
  </si>
  <si>
    <t>Jatin Valecha</t>
  </si>
  <si>
    <t>Anu Hemant Roop Chandel</t>
  </si>
  <si>
    <t>Praveen Kumar Singh</t>
  </si>
  <si>
    <t xml:space="preserve">Prashant Bhandari </t>
  </si>
  <si>
    <t>Elavalagan Arumugam</t>
  </si>
  <si>
    <t>sathish kumar narayanasamy</t>
  </si>
  <si>
    <t>Saurabh Joshi</t>
  </si>
  <si>
    <t>IMS</t>
  </si>
  <si>
    <t>Mukesh Kumar Singh</t>
  </si>
  <si>
    <t>K Krishnamanaidu</t>
  </si>
  <si>
    <t>S Rajendra Prasad</t>
  </si>
  <si>
    <t>Swetha Dubey</t>
  </si>
  <si>
    <t>Sujai S</t>
  </si>
  <si>
    <t>Rajat Rashmi Nayak</t>
  </si>
  <si>
    <t>Harihara Bedaber Sahoo</t>
  </si>
  <si>
    <t>MN - (IMS-SVT), RPA</t>
  </si>
  <si>
    <t xml:space="preserve">MN  </t>
  </si>
  <si>
    <t>MN - RPA</t>
  </si>
  <si>
    <t>Ashish Katiyar</t>
  </si>
  <si>
    <t>Anto Rahen Dhas M</t>
  </si>
  <si>
    <t>Subramani</t>
  </si>
  <si>
    <t>Kavitha Anbarasu</t>
  </si>
  <si>
    <t>Morla Bhargavi</t>
  </si>
  <si>
    <t>Motive</t>
  </si>
  <si>
    <t>R Seshathiry</t>
  </si>
  <si>
    <t>R Parthiban</t>
  </si>
  <si>
    <t>Ajaikumar</t>
  </si>
  <si>
    <t>Mohammed Javed Shaik</t>
  </si>
  <si>
    <t>Rajinder Kumar</t>
  </si>
  <si>
    <t>Pushpa Gautam</t>
  </si>
  <si>
    <t>Gurram Ravi Shekhar Reddy</t>
  </si>
  <si>
    <t>Rahul Singh</t>
  </si>
  <si>
    <t>Pooja Ghatak</t>
  </si>
  <si>
    <t>Vivek Manhar</t>
  </si>
  <si>
    <t>Ram kumar Kota</t>
  </si>
  <si>
    <t>Shivangi Vaish</t>
  </si>
  <si>
    <t>Srinivasa Rao Maddala</t>
  </si>
  <si>
    <t xml:space="preserve">Usha Sathyanarayana Palmner </t>
  </si>
  <si>
    <t>Priya Ranjan</t>
  </si>
  <si>
    <t>Sankar S</t>
  </si>
  <si>
    <t>Wangkhem Nagendro Singh</t>
  </si>
  <si>
    <t>Krishna Murthi Karamalaputii</t>
  </si>
  <si>
    <t>Abijit Swain</t>
  </si>
  <si>
    <t>Jeevan Prakash</t>
  </si>
  <si>
    <t>Maheshwari K</t>
  </si>
  <si>
    <t>Jayaprakash Annigeri</t>
  </si>
  <si>
    <t>Batta Balakrishna</t>
  </si>
  <si>
    <t>Sriram Raghunathan</t>
  </si>
  <si>
    <t>Thafnitha Faisal</t>
  </si>
  <si>
    <t>Sonam Pandey</t>
  </si>
  <si>
    <t>Biju John K</t>
  </si>
  <si>
    <t>J Jayachandran</t>
  </si>
  <si>
    <t>Rajesh Sahadevan</t>
  </si>
  <si>
    <t>T S ongaliappan</t>
  </si>
  <si>
    <t>Biswa Ranjan Sahoo</t>
  </si>
  <si>
    <t>Vamsi Krishna Sripada</t>
  </si>
  <si>
    <t>Sukanya S</t>
  </si>
  <si>
    <t>Anu Priya K R</t>
  </si>
  <si>
    <t>Raghul E</t>
  </si>
  <si>
    <t>Nancy Emelda</t>
  </si>
  <si>
    <t>Shaik Adam Shafi</t>
  </si>
  <si>
    <t>Kiransinh Borasia</t>
  </si>
  <si>
    <t xml:space="preserve">Pratibha K. </t>
  </si>
  <si>
    <t>Mallikarjuna M B</t>
  </si>
  <si>
    <t>Anuradha Rawat</t>
  </si>
  <si>
    <t>Athith K</t>
  </si>
  <si>
    <t>K Thangam</t>
  </si>
  <si>
    <t>Bala kumar M</t>
  </si>
  <si>
    <t>Dharnesh Gowda M A</t>
  </si>
  <si>
    <t>Nitin Patel</t>
  </si>
  <si>
    <t>Shachi Pandey</t>
  </si>
  <si>
    <t>Yoga Preethi S</t>
  </si>
  <si>
    <t>Satheesh Kumar Kandaasamy</t>
  </si>
  <si>
    <t>Kiran Vinjamuru</t>
  </si>
  <si>
    <t xml:space="preserve">Motive </t>
  </si>
  <si>
    <t>Kanakaraj S</t>
  </si>
  <si>
    <t>Shruty Prabhu</t>
  </si>
  <si>
    <t>Pothanchery, Pradeep</t>
  </si>
  <si>
    <t xml:space="preserve">Ravi, Manju </t>
  </si>
  <si>
    <t>Nanda Kishore</t>
  </si>
  <si>
    <t>Shaik Nasiruddin</t>
  </si>
  <si>
    <t>Durga Prasad Attili</t>
  </si>
  <si>
    <t>Kothoju Prashanth Chary</t>
  </si>
  <si>
    <t>Amit Shekhar</t>
  </si>
  <si>
    <t>K Ponnal Reddy</t>
  </si>
  <si>
    <t>Rana Anvesh Reddy Yeramareddy</t>
  </si>
  <si>
    <t>Soni Agni Borah</t>
  </si>
  <si>
    <t>Roy, Sumit</t>
  </si>
  <si>
    <t>Arun Dinakaran</t>
  </si>
  <si>
    <t>Moorthi Duruvasan</t>
  </si>
  <si>
    <t>S Ravi Shankar</t>
  </si>
  <si>
    <t>Gopal Bhardwaj</t>
  </si>
  <si>
    <t>Raghu Nandan Gupta</t>
  </si>
  <si>
    <t>Jaganmohannaidu Amilineni</t>
  </si>
  <si>
    <t>Palicherla, VarunKumar</t>
  </si>
  <si>
    <t xml:space="preserve">Jitender Kumar </t>
  </si>
  <si>
    <t>Rajesh babu Akkala</t>
  </si>
  <si>
    <t>Keerthana Sundaram</t>
  </si>
  <si>
    <t>NSW Enablement</t>
  </si>
  <si>
    <t>Peter Raj</t>
  </si>
  <si>
    <t>Mohd. Zubair Azmi</t>
  </si>
  <si>
    <t>Anand Annadurai</t>
  </si>
  <si>
    <t>Ashish Kumar Rao</t>
  </si>
  <si>
    <t>Amal Nivin</t>
  </si>
  <si>
    <t>Karthik Ravi</t>
  </si>
  <si>
    <t>Jipson George</t>
  </si>
  <si>
    <t>Pradeep Reddy</t>
  </si>
  <si>
    <t>Gaurav Walia</t>
  </si>
  <si>
    <t>Vishwanath Rao Shabad</t>
  </si>
  <si>
    <t>Amit Kumar Mishra</t>
  </si>
  <si>
    <t>Mubasher Uddin</t>
  </si>
  <si>
    <t>Vipin kumar</t>
  </si>
  <si>
    <t>Navdeep Arora</t>
  </si>
  <si>
    <t>Chinmay Pareek</t>
  </si>
  <si>
    <t>Sony Prakash</t>
  </si>
  <si>
    <t>Ali Hussain</t>
  </si>
  <si>
    <t>Arun Kumar S</t>
  </si>
  <si>
    <t>Suresh Raja S</t>
  </si>
  <si>
    <t>Indersingh Rathore</t>
  </si>
  <si>
    <t>Venkatesan Pandiarajan</t>
  </si>
  <si>
    <t>Sandeepan Choudhury</t>
  </si>
  <si>
    <t>Basant Kumar Gurjar</t>
  </si>
  <si>
    <t>Sukh charan</t>
  </si>
  <si>
    <t>D Santhosh</t>
  </si>
  <si>
    <t>Murali Sampath</t>
  </si>
  <si>
    <t>Lakshmi Narasimhan</t>
  </si>
  <si>
    <t>Ravi Kant</t>
  </si>
  <si>
    <t>Rohit Khetan</t>
  </si>
  <si>
    <t>Jitendra Kaler</t>
  </si>
  <si>
    <t>Shashwat Singh</t>
  </si>
  <si>
    <t>Vijay Kumar</t>
  </si>
  <si>
    <t>Dheeraj Kumar</t>
  </si>
  <si>
    <t>Ashok Thangavelu</t>
  </si>
  <si>
    <t>Anoop Kumar</t>
  </si>
  <si>
    <t>Manoj Seth</t>
  </si>
  <si>
    <t>Charan Raju Nagaraju</t>
  </si>
  <si>
    <t>Paritosh Halder</t>
  </si>
  <si>
    <t>Mallepally Sandeep Reddy</t>
  </si>
  <si>
    <t>S Ilanthamizhan</t>
  </si>
  <si>
    <t>Dharmavarapu Dileep Kumar</t>
  </si>
  <si>
    <t>Sushil Kumar</t>
  </si>
  <si>
    <t>Carthikeyan VH</t>
  </si>
  <si>
    <t>K Sudheer Kumar</t>
  </si>
  <si>
    <t>Kumaresan R</t>
  </si>
  <si>
    <t>Sunkari Jagan Mohan</t>
  </si>
  <si>
    <t>Ancil R</t>
  </si>
  <si>
    <t>Isha Sharma</t>
  </si>
  <si>
    <t>Syamala Rohith Kumar</t>
  </si>
  <si>
    <t>Satyabrata Sahoo</t>
  </si>
  <si>
    <t>Shashank Rathee</t>
  </si>
  <si>
    <t>Ashish Ravi Mehra</t>
  </si>
  <si>
    <t>Siddharth Singhal</t>
  </si>
  <si>
    <t>Mohd Iftekhar Noor</t>
  </si>
  <si>
    <t>Sandeep Kumar Mishra</t>
  </si>
  <si>
    <t xml:space="preserve">SBC </t>
  </si>
  <si>
    <t>B Nagarjuna Reddy</t>
  </si>
  <si>
    <t>Gopalakrishnan Somasundaram</t>
  </si>
  <si>
    <t>Kannan S</t>
  </si>
  <si>
    <t>Naveen Singh Thakur</t>
  </si>
  <si>
    <t>Abin Varghese</t>
  </si>
  <si>
    <t>Sobhan Kanungo</t>
  </si>
  <si>
    <t>Sudhir Kumar Jha</t>
  </si>
  <si>
    <t>Syed Mujeeb Azmath Shoaib</t>
  </si>
  <si>
    <t>Manoj Kumar</t>
  </si>
  <si>
    <t>Debashis Ghadai</t>
  </si>
  <si>
    <t>Ravinder Kumar Lakhanpal</t>
  </si>
  <si>
    <t>Sivanantham Murugesan</t>
  </si>
  <si>
    <t>Gayathri N</t>
  </si>
  <si>
    <t>Ghanashyam Subedi</t>
  </si>
  <si>
    <t>Anubhav Jain</t>
  </si>
  <si>
    <t>Dillip Lenka</t>
  </si>
  <si>
    <t>Apparao Remala</t>
  </si>
  <si>
    <t>Raghuraman K</t>
  </si>
  <si>
    <t>Ajit Kumar Pallai</t>
  </si>
  <si>
    <t>Ponada Majhi</t>
  </si>
  <si>
    <t>Sundhar S</t>
  </si>
  <si>
    <t>Dinesh Kumar Gupta</t>
  </si>
  <si>
    <t>Rajapraveen M</t>
  </si>
  <si>
    <t> 69148991</t>
  </si>
  <si>
    <t>Pusuluri Nageswar Kiran</t>
  </si>
  <si>
    <t>Ghulam Raza</t>
  </si>
  <si>
    <t>Bharat Kushwaha</t>
  </si>
  <si>
    <t>Aditya Lavania</t>
  </si>
  <si>
    <t>Amit Mukhra</t>
  </si>
  <si>
    <t>Udaya Shankar Dilip Aradhya</t>
  </si>
  <si>
    <t>Subrat Behera</t>
  </si>
  <si>
    <t>Mohit Sehgal</t>
  </si>
  <si>
    <t>Mohit Gaur</t>
  </si>
  <si>
    <t>Sahil Garg</t>
  </si>
  <si>
    <t> 69153501</t>
  </si>
  <si>
    <t>Braham pal Singh</t>
  </si>
  <si>
    <t> 69153494</t>
  </si>
  <si>
    <t>Manoj Mathur</t>
  </si>
  <si>
    <t>Ramesh Narendrapurapu</t>
  </si>
  <si>
    <t>SDP</t>
  </si>
  <si>
    <t>Ravi Patel Prakashbhai</t>
  </si>
  <si>
    <t>Vijay Vikram Singh</t>
  </si>
  <si>
    <t>Dilshad Shakeel Ahmed Khan</t>
  </si>
  <si>
    <t>Durga Jokh Giri</t>
  </si>
  <si>
    <t>Sahid Ikbalhusen Mesania</t>
  </si>
  <si>
    <t>Abhinav Sharma</t>
  </si>
  <si>
    <t>Rakesh Kannan</t>
  </si>
  <si>
    <t>Boya Ravikumar</t>
  </si>
  <si>
    <t>Ankit Sharma</t>
  </si>
  <si>
    <t>Bharat Bhushan</t>
  </si>
  <si>
    <t>Prateek Pathak</t>
  </si>
  <si>
    <t>Pankaj Kapoor</t>
  </si>
  <si>
    <t>Jayakumar N</t>
  </si>
  <si>
    <t>Midhun Jothiramalingam</t>
  </si>
  <si>
    <t>Koushik Mitra</t>
  </si>
  <si>
    <t>Syed Iqbal Ali</t>
  </si>
  <si>
    <t>Rupak Kumar Pal</t>
  </si>
  <si>
    <t>Amit Kumar Shrivastva</t>
  </si>
  <si>
    <t>Dibakar Roy</t>
  </si>
  <si>
    <t>A Nizamullah</t>
  </si>
  <si>
    <t>Prashant Kulshrestha</t>
  </si>
  <si>
    <t>VFW</t>
  </si>
  <si>
    <t>Vodafone</t>
  </si>
  <si>
    <t>Devender Singh</t>
  </si>
  <si>
    <t xml:space="preserve">Sandeep Singh </t>
  </si>
  <si>
    <t>Mohit Singh</t>
  </si>
  <si>
    <t>Prabhu Natarajan</t>
  </si>
  <si>
    <t>SI Testing</t>
  </si>
  <si>
    <t>Parthiban .</t>
  </si>
  <si>
    <t>Natesh Murthi</t>
  </si>
  <si>
    <t>Vezhavendan Kadirvadivelu</t>
  </si>
  <si>
    <t>S Ramesh</t>
  </si>
  <si>
    <t>Muralikesavan B</t>
  </si>
  <si>
    <t>Kaviarasu Subramani</t>
  </si>
  <si>
    <t>Karthikeyan K K</t>
  </si>
  <si>
    <t>Abhinav Kaushal</t>
  </si>
  <si>
    <t>Rajeev Kumar Chaudhury</t>
  </si>
  <si>
    <t>Mahendra Kumar Sharma</t>
  </si>
  <si>
    <t>Anoop Singh Yadav</t>
  </si>
  <si>
    <t>Shailendra Sharma</t>
  </si>
  <si>
    <t>Suresh Kalaikathiravan</t>
  </si>
  <si>
    <t>Monish Sarkar</t>
  </si>
  <si>
    <t>Avinash Kumar</t>
  </si>
  <si>
    <t>Dinesh Ramamurthy</t>
  </si>
  <si>
    <t>Nilanjan Das Chowdhury</t>
  </si>
  <si>
    <t>Srikanth Reddy</t>
  </si>
  <si>
    <t>P Sampathkumar</t>
  </si>
  <si>
    <t>Muddaluru Vasudevaraju</t>
  </si>
  <si>
    <t>Tatikonda Swarnalatha</t>
  </si>
  <si>
    <t>Rajesh Hanumantu</t>
  </si>
  <si>
    <t>Mahendran Murugesan</t>
  </si>
  <si>
    <t>Vignesh Kalyanasundaram</t>
  </si>
  <si>
    <t>Mohamed Ashraf</t>
  </si>
  <si>
    <t>Sistu Narayana Rao</t>
  </si>
  <si>
    <t>Nandhini</t>
  </si>
  <si>
    <t>Prakhar Batham</t>
  </si>
  <si>
    <t>Gandikota Krishna Kumar</t>
  </si>
  <si>
    <t>Manish Kumar Jhankal</t>
  </si>
  <si>
    <t>AVIK SARKAR</t>
  </si>
  <si>
    <t>Nitish Kumar Sharma</t>
  </si>
  <si>
    <t>Srinevasa Murthy T</t>
  </si>
  <si>
    <t>Agnel Richard Fernando</t>
  </si>
  <si>
    <t>Anshul Sharma</t>
  </si>
  <si>
    <t>SQM</t>
  </si>
  <si>
    <t>Gaurav Kukreja</t>
  </si>
  <si>
    <t>Cloud (Non A&amp;A)</t>
  </si>
  <si>
    <t>Cloud - Belgium</t>
  </si>
  <si>
    <t>Vijay Pratap Singh Rajput</t>
  </si>
  <si>
    <t>Vivek Saxena</t>
  </si>
  <si>
    <t>Deepak Kumar Yadav</t>
  </si>
  <si>
    <t>Saurabh Gupta</t>
  </si>
  <si>
    <t>Mohammad Atif Anwar</t>
  </si>
  <si>
    <t>Gaurav Verma</t>
  </si>
  <si>
    <t>SW - Customization</t>
  </si>
  <si>
    <t>SW Customization</t>
  </si>
  <si>
    <t>Mohit Varshney</t>
  </si>
  <si>
    <t>Monica Gupta</t>
  </si>
  <si>
    <t>Phani Kumar Parasaram</t>
  </si>
  <si>
    <t>Sumit Singh</t>
  </si>
  <si>
    <t>Deepak Kumar Gupta</t>
  </si>
  <si>
    <t>Motive US Support</t>
  </si>
  <si>
    <t>US support</t>
  </si>
  <si>
    <t>K Diwakar Luke</t>
  </si>
  <si>
    <t>Saravanan S V</t>
  </si>
  <si>
    <t>Ayyappan Tamilvanan</t>
  </si>
  <si>
    <t>Pinisetti Naga Venkata Satyanarayana</t>
  </si>
  <si>
    <t>Arunkumar Rathinavelu</t>
  </si>
  <si>
    <t>Penta Abhilash</t>
  </si>
  <si>
    <t>Pankaj Kumar Senapati</t>
  </si>
  <si>
    <t>Suraj Kumar Nayak</t>
  </si>
  <si>
    <t>Kushal Mishra</t>
  </si>
  <si>
    <t>Sandeep Singh</t>
  </si>
  <si>
    <t>Rajeev Ranjan</t>
  </si>
  <si>
    <t>Deepak Kumar</t>
  </si>
  <si>
    <t>Sharad Chhaiya</t>
  </si>
  <si>
    <t>Ratul Ranjan</t>
  </si>
  <si>
    <t>sanjeev pandey</t>
  </si>
  <si>
    <t>Pawan Dwivedi</t>
  </si>
  <si>
    <t>Debasish Paresh Ranjan Paramanik</t>
  </si>
  <si>
    <t>Anurag Mishra</t>
  </si>
  <si>
    <t>Santosh Varma Chiluvuri</t>
  </si>
  <si>
    <t>Udit Narayan Atrey</t>
  </si>
  <si>
    <t>Manoj Gehlot</t>
  </si>
  <si>
    <t>Ahmad Raza Khan</t>
  </si>
  <si>
    <t>Alok Kumar</t>
  </si>
  <si>
    <t>Anirban Chaudhry</t>
  </si>
  <si>
    <t>Galla Siva Rama Krishna</t>
  </si>
  <si>
    <t>Srinath Ravi</t>
  </si>
  <si>
    <t>Partha Sarathi Rout</t>
  </si>
  <si>
    <t>Rajesh Bhojak</t>
  </si>
  <si>
    <t>GCC - SPS</t>
  </si>
  <si>
    <t>Bakshish Kumar</t>
  </si>
  <si>
    <t>Sakshi Sharma</t>
  </si>
  <si>
    <t>N Preethi</t>
  </si>
  <si>
    <t>Vinnakoti Prudvi Kumar</t>
  </si>
  <si>
    <t>Bharathkumar Rajendran</t>
  </si>
  <si>
    <t>Vasanth Kumar S</t>
  </si>
  <si>
    <t>Ayyappan Palanivel</t>
  </si>
  <si>
    <t>Jalla Subha Chandra</t>
  </si>
  <si>
    <t>Jagadish Sahu</t>
  </si>
  <si>
    <t>Yasaswini Para</t>
  </si>
  <si>
    <t>Anil kumar Shetty R</t>
  </si>
  <si>
    <t>Ramakanth Bokka</t>
  </si>
  <si>
    <t>Vilas Gaddam</t>
  </si>
  <si>
    <t>Ajay Pratap Singh Chauhan</t>
  </si>
  <si>
    <t>Karnati venkata Saikrishna Murthy</t>
  </si>
  <si>
    <t>Rajendra Kumar Jena</t>
  </si>
  <si>
    <t>Subhasantosh Dash</t>
  </si>
  <si>
    <t>Nareshbabu Karanam</t>
  </si>
  <si>
    <t>LOGANATHAN KUTI RATHINAM</t>
  </si>
  <si>
    <t>Vinoth Kondiyaan Krishnamoorthy</t>
  </si>
  <si>
    <t>Kunal Kumar</t>
  </si>
  <si>
    <t>C Ramesh</t>
  </si>
  <si>
    <t>Jalal Uddin Mondal</t>
  </si>
  <si>
    <t>Manivelu Krishna</t>
  </si>
  <si>
    <t>motive</t>
  </si>
  <si>
    <t>J Lakshmi Narayanan</t>
  </si>
  <si>
    <t>Dipak Sudhakar Dhanraj</t>
  </si>
  <si>
    <t>Prabhat Singh</t>
  </si>
  <si>
    <t>Ayush Nautiyal</t>
  </si>
  <si>
    <t>V L Bharathreddy</t>
  </si>
  <si>
    <t>Arun A</t>
  </si>
  <si>
    <t>K Anbukannan</t>
  </si>
  <si>
    <t>M Karthi</t>
  </si>
  <si>
    <t>Rishi Somkuwar</t>
  </si>
  <si>
    <t>Sreesadhana K</t>
  </si>
  <si>
    <t>Abhay Gupta</t>
  </si>
  <si>
    <t>Prabhat kumar</t>
  </si>
  <si>
    <t> BSS</t>
  </si>
  <si>
    <t>R Pradima</t>
  </si>
  <si>
    <t>Ankit Tiwari</t>
  </si>
  <si>
    <t> GCC - SPS</t>
  </si>
  <si>
    <t>Ashish Kumar Agrawal</t>
  </si>
  <si>
    <t> SBC</t>
  </si>
  <si>
    <t>Manoj Devanga Harish</t>
  </si>
  <si>
    <t>Ramkumar lodhi</t>
  </si>
  <si>
    <t>Ramakrishna Bisoi</t>
  </si>
  <si>
    <t>Naren Chandra Kattla</t>
  </si>
  <si>
    <t>Pending deployment</t>
  </si>
  <si>
    <t>Ritesh Dave</t>
  </si>
  <si>
    <t>Sanjoy Lahiri</t>
  </si>
  <si>
    <t>Neeraj Thakur</t>
  </si>
  <si>
    <t>Nikhil Chopra</t>
  </si>
  <si>
    <t>Chandan Prakash Rai</t>
  </si>
  <si>
    <t>Bharat Madhukar Badgujar</t>
  </si>
  <si>
    <t>Kuldeep Dhawan</t>
  </si>
  <si>
    <t>Sahil Neeraj Kalra</t>
  </si>
  <si>
    <t>Pending Deployment  </t>
  </si>
  <si>
    <t>shashank Tyagi</t>
  </si>
  <si>
    <t>Sunit Sarthak Mohanty</t>
  </si>
  <si>
    <t>Sandeep Kumar</t>
  </si>
  <si>
    <t>Venkatakumar Arumugam</t>
  </si>
  <si>
    <t>UMF</t>
  </si>
  <si>
    <t>Surepay UMF Offshore</t>
  </si>
  <si>
    <t>VFH</t>
  </si>
  <si>
    <t>Murugesh Ramachandran</t>
  </si>
  <si>
    <t>Karthikeyan Manickavel</t>
  </si>
  <si>
    <t>Tammana Chandini</t>
  </si>
  <si>
    <t>Bandi Venumadhava Reddy</t>
  </si>
  <si>
    <t>Thiyagarajan</t>
  </si>
  <si>
    <t>Guest id</t>
  </si>
  <si>
    <t>Paul Sharp</t>
  </si>
  <si>
    <t>Surepay UMF Onsite</t>
  </si>
  <si>
    <t>Garry Rayan</t>
  </si>
  <si>
    <t>Yuvaraj Sundaresan S</t>
  </si>
  <si>
    <t>Raghunath K G</t>
  </si>
  <si>
    <t>Aritra Maiti</t>
  </si>
  <si>
    <t>NIAM</t>
  </si>
  <si>
    <t>NIAM Adapter</t>
  </si>
  <si>
    <t>Deepak Behera</t>
  </si>
  <si>
    <t>Sirigala Thejasree</t>
  </si>
  <si>
    <t>Shubhangi</t>
  </si>
  <si>
    <t>Sonali Nayak</t>
  </si>
  <si>
    <t>Sneha Singh</t>
  </si>
  <si>
    <t>Srinivasarao Yakkala</t>
  </si>
  <si>
    <t>Shipra Bhamri</t>
  </si>
  <si>
    <t>Manohar Lal Das</t>
  </si>
  <si>
    <t>N Balasubramanian</t>
  </si>
  <si>
    <t>contracted</t>
  </si>
  <si>
    <t xml:space="preserve">Togo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</si>
</sst>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6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</font>
    <font>
      <sz val="10"/>
      <color theme="0"/>
      <name val="Segoe UI"/>
      <family val="2"/>
    </font>
    <font>
      <sz val="8"/>
      <color theme="0"/>
      <name val="Calibri"/>
      <family val="2"/>
    </font>
    <font>
      <b/>
      <sz val="12"/>
      <color theme="1"/>
      <name val="Calibri Light"/>
      <family val="2"/>
      <scheme val="major"/>
    </font>
    <font>
      <b/>
      <sz val="8"/>
      <color rgb="FF000000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color rgb="FF002060"/>
      <name val="Calibri Light"/>
      <family val="2"/>
      <scheme val="major"/>
    </font>
    <font>
      <u/>
      <sz val="10"/>
      <color rgb="FF002060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10"/>
      <color rgb="FF00206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43" fontId="25" fillId="0" borderId="0" applyFont="0" applyFill="0" applyBorder="0" applyAlignment="0" applyProtection="0"/>
  </cellStyleXfs>
  <cellXfs count="74">
    <xf numFmtId="0" fontId="0" fillId="0" borderId="0" xfId="0"/>
    <xf numFmtId="0" fontId="5" fillId="6" borderId="0" xfId="0" applyFont="1" applyFill="1" applyAlignment="1">
      <alignment horizontal="left" wrapText="1"/>
    </xf>
    <xf numFmtId="0" fontId="5" fillId="6" borderId="0" xfId="0" applyFont="1" applyFill="1" applyAlignment="1">
      <alignment horizontal="center" wrapText="1"/>
    </xf>
    <xf numFmtId="1" fontId="5" fillId="6" borderId="0" xfId="0" applyNumberFormat="1" applyFont="1" applyFill="1" applyAlignment="1">
      <alignment horizontal="center" wrapText="1"/>
    </xf>
    <xf numFmtId="0" fontId="5" fillId="6" borderId="0" xfId="0" applyFont="1" applyFill="1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/>
    <xf numFmtId="0" fontId="6" fillId="3" borderId="0" xfId="0" applyFont="1" applyFill="1"/>
    <xf numFmtId="0" fontId="6" fillId="7" borderId="0" xfId="0" applyFont="1" applyFill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1" fontId="6" fillId="8" borderId="0" xfId="0" applyNumberFormat="1" applyFont="1" applyFill="1" applyAlignment="1">
      <alignment horizontal="left"/>
    </xf>
    <xf numFmtId="0" fontId="8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/>
      <protection locked="0"/>
    </xf>
    <xf numFmtId="1" fontId="4" fillId="0" borderId="0" xfId="0" applyNumberFormat="1" applyFont="1"/>
    <xf numFmtId="0" fontId="4" fillId="0" borderId="0" xfId="0" applyFont="1"/>
    <xf numFmtId="0" fontId="4" fillId="9" borderId="0" xfId="0" applyFont="1" applyFill="1"/>
    <xf numFmtId="0" fontId="9" fillId="0" borderId="0" xfId="0" applyFont="1" applyAlignment="1">
      <alignment vertical="center"/>
    </xf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hidden="1"/>
    </xf>
    <xf numFmtId="0" fontId="8" fillId="0" borderId="0" xfId="0" applyFont="1" applyAlignment="1">
      <alignment horizontal="center" vertical="center"/>
    </xf>
    <xf numFmtId="0" fontId="1" fillId="0" borderId="0" xfId="0" applyFont="1"/>
    <xf numFmtId="16" fontId="13" fillId="2" borderId="1" xfId="0" applyNumberFormat="1" applyFont="1" applyFill="1" applyBorder="1" applyAlignment="1" applyProtection="1">
      <alignment horizontal="center" vertical="center" textRotation="90"/>
      <protection locked="0"/>
    </xf>
    <xf numFmtId="0" fontId="15" fillId="5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4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4" fillId="0" borderId="0" xfId="0" applyFont="1"/>
    <xf numFmtId="0" fontId="17" fillId="0" borderId="0" xfId="0" applyFont="1"/>
    <xf numFmtId="0" fontId="19" fillId="0" borderId="0" xfId="0" applyFont="1"/>
    <xf numFmtId="0" fontId="20" fillId="0" borderId="2" xfId="0" applyFont="1" applyBorder="1"/>
    <xf numFmtId="0" fontId="20" fillId="0" borderId="3" xfId="0" applyFont="1" applyBorder="1"/>
    <xf numFmtId="0" fontId="21" fillId="3" borderId="4" xfId="0" applyFont="1" applyFill="1" applyBorder="1" applyAlignment="1">
      <alignment vertical="center"/>
    </xf>
    <xf numFmtId="0" fontId="20" fillId="3" borderId="0" xfId="0" applyFont="1" applyFill="1"/>
    <xf numFmtId="0" fontId="22" fillId="0" borderId="0" xfId="0" applyFont="1"/>
    <xf numFmtId="0" fontId="20" fillId="0" borderId="0" xfId="0" applyFont="1"/>
    <xf numFmtId="0" fontId="23" fillId="0" borderId="4" xfId="0" applyFont="1" applyBorder="1" applyAlignment="1">
      <alignment vertical="center"/>
    </xf>
    <xf numFmtId="0" fontId="14" fillId="0" borderId="5" xfId="0" applyFont="1" applyBorder="1"/>
    <xf numFmtId="0" fontId="14" fillId="0" borderId="6" xfId="0" applyFont="1" applyBorder="1"/>
    <xf numFmtId="0" fontId="12" fillId="0" borderId="7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14" fillId="0" borderId="1" xfId="0" applyFont="1" applyBorder="1" applyAlignment="1">
      <alignment wrapText="1"/>
    </xf>
    <xf numFmtId="0" fontId="18" fillId="1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wrapText="1"/>
    </xf>
    <xf numFmtId="0" fontId="14" fillId="3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24" fillId="4" borderId="1" xfId="1" applyFont="1" applyBorder="1" applyAlignment="1" applyProtection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4" fillId="0" borderId="1" xfId="0" applyFont="1" applyBorder="1" applyProtection="1">
      <protection locked="0"/>
    </xf>
    <xf numFmtId="0" fontId="17" fillId="0" borderId="1" xfId="0" applyFont="1" applyBorder="1" applyAlignment="1">
      <alignment horizontal="center" vertical="center"/>
    </xf>
  </cellXfs>
  <cellStyles count="3">
    <cellStyle name="Bad" xfId="1" builtinId="27"/>
    <cellStyle name="Comma 2" xfId="2" xr:uid="{7E893D89-DA97-4ABC-9B73-02D5B1AC40BF}"/>
    <cellStyle name="Normal" xfId="0" builtinId="0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theme="3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3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theme="3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3" tint="0.3999450666829432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FF16-CB73-4D48-805A-7FB146B64D0E}">
  <dimension ref="A1:AT31"/>
  <sheetViews>
    <sheetView showGridLines="0" tabSelected="1" workbookViewId="0">
      <pane xSplit="6" ySplit="2" topLeftCell="G3" activePane="bottomRight" state="frozen"/>
      <selection pane="bottomRight" activeCell="Y12" sqref="Y12"/>
      <selection pane="bottomLeft" activeCell="A4" sqref="A4"/>
      <selection pane="topRight" activeCell="G1" sqref="G1"/>
    </sheetView>
  </sheetViews>
  <sheetFormatPr defaultColWidth="9.28515625" defaultRowHeight="11.25" customHeight="1"/>
  <cols>
    <col min="1" max="1" width="5.140625" style="35" customWidth="1"/>
    <col min="2" max="2" width="14.28515625" style="35" customWidth="1"/>
    <col min="3" max="3" width="13.85546875" style="35" customWidth="1"/>
    <col min="4" max="4" width="15.140625" style="35" customWidth="1"/>
    <col min="5" max="5" width="8.7109375" style="35" customWidth="1"/>
    <col min="6" max="6" width="7.7109375" style="35" customWidth="1"/>
    <col min="7" max="9" width="3.42578125" style="35" bestFit="1" customWidth="1"/>
    <col min="10" max="10" width="2.7109375" style="35" bestFit="1" customWidth="1"/>
    <col min="11" max="11" width="2.85546875" style="35" bestFit="1" customWidth="1"/>
    <col min="12" max="12" width="3.42578125" style="35" bestFit="1" customWidth="1"/>
    <col min="13" max="16" width="3.42578125" style="35" customWidth="1"/>
    <col min="17" max="17" width="2.7109375" style="35" bestFit="1" customWidth="1"/>
    <col min="18" max="18" width="2.85546875" style="35" bestFit="1" customWidth="1"/>
    <col min="19" max="37" width="3.42578125" style="35" customWidth="1"/>
    <col min="38" max="40" width="3.5703125" style="35" customWidth="1"/>
    <col min="41" max="41" width="3.28515625" style="35" bestFit="1" customWidth="1"/>
    <col min="42" max="43" width="3.5703125" style="35" bestFit="1" customWidth="1"/>
    <col min="44" max="44" width="12.140625" style="35" customWidth="1"/>
    <col min="45" max="45" width="14.7109375" style="35" bestFit="1" customWidth="1"/>
    <col min="46" max="46" width="5.7109375" style="35" bestFit="1" customWidth="1"/>
    <col min="47" max="16384" width="9.28515625" style="26"/>
  </cols>
  <sheetData>
    <row r="1" spans="1:46" ht="27.75">
      <c r="A1" s="47"/>
      <c r="B1" s="48"/>
      <c r="C1" s="48"/>
      <c r="D1" s="48"/>
      <c r="E1" s="48"/>
      <c r="F1" s="49"/>
      <c r="G1" s="27">
        <v>46204</v>
      </c>
      <c r="H1" s="27">
        <v>46205</v>
      </c>
      <c r="I1" s="27">
        <v>46206</v>
      </c>
      <c r="J1" s="27">
        <v>46207</v>
      </c>
      <c r="K1" s="27">
        <v>46208</v>
      </c>
      <c r="L1" s="27">
        <v>46209</v>
      </c>
      <c r="M1" s="27">
        <v>46210</v>
      </c>
      <c r="N1" s="27">
        <v>46211</v>
      </c>
      <c r="O1" s="27">
        <v>46212</v>
      </c>
      <c r="P1" s="27">
        <v>46213</v>
      </c>
      <c r="Q1" s="27">
        <v>46214</v>
      </c>
      <c r="R1" s="27">
        <v>46215</v>
      </c>
      <c r="S1" s="27">
        <v>46216</v>
      </c>
      <c r="T1" s="27">
        <v>46217</v>
      </c>
      <c r="U1" s="27">
        <v>46218</v>
      </c>
      <c r="V1" s="27">
        <v>46219</v>
      </c>
      <c r="W1" s="27">
        <v>46220</v>
      </c>
      <c r="X1" s="27">
        <v>46221</v>
      </c>
      <c r="Y1" s="27">
        <v>46222</v>
      </c>
      <c r="Z1" s="27">
        <v>46223</v>
      </c>
      <c r="AA1" s="27">
        <v>46224</v>
      </c>
      <c r="AB1" s="27">
        <v>46225</v>
      </c>
      <c r="AC1" s="27">
        <v>46226</v>
      </c>
      <c r="AD1" s="27">
        <v>46227</v>
      </c>
      <c r="AE1" s="27">
        <v>46228</v>
      </c>
      <c r="AF1" s="27">
        <v>46229</v>
      </c>
      <c r="AG1" s="27">
        <v>46230</v>
      </c>
      <c r="AH1" s="27">
        <v>46231</v>
      </c>
      <c r="AI1" s="27">
        <v>46232</v>
      </c>
      <c r="AJ1" s="27">
        <v>46233</v>
      </c>
      <c r="AK1" s="27">
        <v>46234</v>
      </c>
      <c r="AL1" s="72"/>
      <c r="AM1" s="72"/>
      <c r="AN1" s="72"/>
      <c r="AO1" s="72">
        <f>+SUBTOTAL(109,AO3:AO27)</f>
        <v>0</v>
      </c>
      <c r="AP1" s="72">
        <f>+SUBTOTAL(109,AP3:AP27)</f>
        <v>0</v>
      </c>
      <c r="AQ1" s="72">
        <f>+SUBTOTAL(109,AQ3:AQ27)</f>
        <v>0</v>
      </c>
      <c r="AR1" s="72"/>
      <c r="AS1" s="72"/>
      <c r="AT1" s="26"/>
    </row>
    <row r="2" spans="1:46" ht="12" customHeight="1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61" t="s">
        <v>6</v>
      </c>
      <c r="H2" s="61" t="s">
        <v>7</v>
      </c>
      <c r="I2" s="61" t="s">
        <v>8</v>
      </c>
      <c r="J2" s="61" t="s">
        <v>9</v>
      </c>
      <c r="K2" s="61" t="s">
        <v>10</v>
      </c>
      <c r="L2" s="61" t="s">
        <v>11</v>
      </c>
      <c r="M2" s="61" t="s">
        <v>12</v>
      </c>
      <c r="N2" s="61" t="s">
        <v>6</v>
      </c>
      <c r="O2" s="61" t="s">
        <v>7</v>
      </c>
      <c r="P2" s="61" t="s">
        <v>8</v>
      </c>
      <c r="Q2" s="61" t="s">
        <v>9</v>
      </c>
      <c r="R2" s="61" t="s">
        <v>10</v>
      </c>
      <c r="S2" s="61" t="s">
        <v>11</v>
      </c>
      <c r="T2" s="61" t="s">
        <v>12</v>
      </c>
      <c r="U2" s="61" t="s">
        <v>6</v>
      </c>
      <c r="V2" s="61" t="s">
        <v>7</v>
      </c>
      <c r="W2" s="61" t="s">
        <v>8</v>
      </c>
      <c r="X2" s="61" t="s">
        <v>9</v>
      </c>
      <c r="Y2" s="61" t="s">
        <v>10</v>
      </c>
      <c r="Z2" s="61" t="s">
        <v>11</v>
      </c>
      <c r="AA2" s="61" t="s">
        <v>12</v>
      </c>
      <c r="AB2" s="61" t="s">
        <v>6</v>
      </c>
      <c r="AC2" s="61" t="s">
        <v>7</v>
      </c>
      <c r="AD2" s="61" t="s">
        <v>8</v>
      </c>
      <c r="AE2" s="61" t="s">
        <v>9</v>
      </c>
      <c r="AF2" s="61" t="s">
        <v>10</v>
      </c>
      <c r="AG2" s="61" t="s">
        <v>11</v>
      </c>
      <c r="AH2" s="61" t="s">
        <v>12</v>
      </c>
      <c r="AI2" s="61" t="s">
        <v>6</v>
      </c>
      <c r="AJ2" s="61" t="s">
        <v>7</v>
      </c>
      <c r="AK2" s="61"/>
      <c r="AL2" s="29" t="s">
        <v>13</v>
      </c>
      <c r="AM2" s="29" t="s">
        <v>14</v>
      </c>
      <c r="AN2" s="29" t="s">
        <v>15</v>
      </c>
      <c r="AO2" s="29" t="s">
        <v>16</v>
      </c>
      <c r="AP2" s="62" t="s">
        <v>17</v>
      </c>
      <c r="AQ2" s="62" t="s">
        <v>18</v>
      </c>
      <c r="AR2" s="29" t="s">
        <v>19</v>
      </c>
      <c r="AS2" s="30" t="s">
        <v>20</v>
      </c>
      <c r="AT2" s="26"/>
    </row>
    <row r="3" spans="1:46" s="71" customFormat="1" ht="13.5" customHeight="1">
      <c r="A3" s="66"/>
      <c r="B3"/>
      <c r="C3" s="68"/>
      <c r="D3" s="68"/>
      <c r="E3" s="66"/>
      <c r="F3" s="69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6">
        <f>COUNTIF(G3:AJ3,"P")+COUNTIF(G3:AJ3,"L")+COUNTIF(G3:AJ3,"NS")</f>
        <v>0</v>
      </c>
      <c r="AM3" s="66">
        <f>COUNTIF(G3:AJ3,"L")</f>
        <v>0</v>
      </c>
      <c r="AN3" s="66">
        <f>COUNTIF(G3:AJ3,"P")+COUNTIF(G3:AJ3,"NS")</f>
        <v>0</v>
      </c>
      <c r="AO3" s="66">
        <f>COUNTIF(G3:AJ3,"AD")</f>
        <v>0</v>
      </c>
      <c r="AP3" s="66">
        <f>COUNTIF(G3:AJ3,"NS")</f>
        <v>0</v>
      </c>
      <c r="AQ3" s="66">
        <f>+AP3+AO3</f>
        <v>0</v>
      </c>
      <c r="AR3" s="73">
        <f>AO3+AN3</f>
        <v>0</v>
      </c>
    </row>
    <row r="4" spans="1:46" s="71" customFormat="1" ht="13.5" customHeight="1">
      <c r="A4" s="66"/>
      <c r="B4" s="67"/>
      <c r="C4" s="68"/>
      <c r="D4" s="68"/>
      <c r="E4" s="66"/>
      <c r="F4" s="69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31"/>
      <c r="AM4" s="31"/>
      <c r="AN4" s="31"/>
      <c r="AO4" s="31"/>
      <c r="AP4" s="70"/>
      <c r="AQ4" s="30"/>
      <c r="AR4" s="32"/>
    </row>
    <row r="5" spans="1:46" s="71" customFormat="1" ht="13.5" customHeight="1">
      <c r="A5" s="66"/>
      <c r="B5" s="67"/>
      <c r="C5" s="68"/>
      <c r="D5" s="68"/>
      <c r="E5" s="66"/>
      <c r="F5" s="69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31"/>
      <c r="AM5" s="31"/>
      <c r="AN5" s="31"/>
      <c r="AO5" s="31"/>
      <c r="AP5" s="70"/>
      <c r="AQ5" s="30"/>
      <c r="AR5" s="32"/>
    </row>
    <row r="6" spans="1:46" s="71" customFormat="1" ht="13.5" customHeight="1">
      <c r="A6" s="66"/>
      <c r="B6" s="67"/>
      <c r="C6" s="68"/>
      <c r="D6" s="68"/>
      <c r="E6" s="66"/>
      <c r="F6" s="69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31"/>
      <c r="AM6" s="31"/>
      <c r="AN6" s="31"/>
      <c r="AO6" s="31"/>
      <c r="AP6" s="70"/>
      <c r="AQ6" s="30"/>
      <c r="AR6" s="32"/>
    </row>
    <row r="7" spans="1:46" s="71" customFormat="1" ht="13.5" customHeight="1">
      <c r="A7" s="66"/>
      <c r="B7" s="67"/>
      <c r="C7" s="68"/>
      <c r="D7" s="68"/>
      <c r="E7" s="66"/>
      <c r="F7" s="69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31"/>
      <c r="AM7" s="31"/>
      <c r="AN7" s="31"/>
      <c r="AO7" s="31"/>
      <c r="AP7" s="70"/>
      <c r="AQ7" s="30"/>
      <c r="AR7" s="32"/>
    </row>
    <row r="8" spans="1:46">
      <c r="A8" s="33"/>
      <c r="B8" s="33"/>
      <c r="C8" s="33"/>
      <c r="D8" s="33"/>
      <c r="E8" s="33"/>
      <c r="F8" s="33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3"/>
      <c r="AN8" s="33"/>
      <c r="AO8" s="33"/>
      <c r="AP8" s="33"/>
      <c r="AQ8" s="33"/>
      <c r="AR8" s="33"/>
      <c r="AS8" s="33"/>
      <c r="AT8" s="33"/>
    </row>
    <row r="9" spans="1:46"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</row>
    <row r="10" spans="1:46" ht="24.75">
      <c r="A10" s="50" t="s">
        <v>21</v>
      </c>
      <c r="B10" s="51" t="s">
        <v>22</v>
      </c>
      <c r="C10" s="52" t="s">
        <v>23</v>
      </c>
    </row>
    <row r="11" spans="1:46" ht="38.25">
      <c r="A11" s="50" t="s">
        <v>24</v>
      </c>
      <c r="B11" s="53" t="s">
        <v>25</v>
      </c>
      <c r="C11" s="64" t="s">
        <v>26</v>
      </c>
    </row>
    <row r="12" spans="1:46" ht="63">
      <c r="A12" s="50" t="s">
        <v>27</v>
      </c>
      <c r="B12" s="54" t="s">
        <v>16</v>
      </c>
      <c r="C12" s="65" t="s">
        <v>23</v>
      </c>
    </row>
    <row r="13" spans="1:46" ht="12.75">
      <c r="A13" s="50" t="s">
        <v>28</v>
      </c>
      <c r="B13" s="55" t="s">
        <v>14</v>
      </c>
      <c r="C13" s="52" t="s">
        <v>26</v>
      </c>
    </row>
    <row r="14" spans="1:46" ht="24.75">
      <c r="A14" s="50" t="s">
        <v>29</v>
      </c>
      <c r="B14" s="56"/>
      <c r="C14" s="52" t="s">
        <v>26</v>
      </c>
    </row>
    <row r="15" spans="1:46" ht="24.75">
      <c r="A15" s="50" t="s">
        <v>30</v>
      </c>
      <c r="B15" s="54" t="s">
        <v>17</v>
      </c>
      <c r="C15" s="50" t="s">
        <v>23</v>
      </c>
    </row>
    <row r="16" spans="1:46" ht="12.75" hidden="1">
      <c r="A16" s="57"/>
      <c r="B16" s="58"/>
      <c r="C16" s="57" t="s">
        <v>31</v>
      </c>
    </row>
    <row r="17" spans="1:46" ht="12.75" hidden="1">
      <c r="A17" s="57"/>
      <c r="B17" s="58"/>
      <c r="C17" s="57" t="s">
        <v>32</v>
      </c>
    </row>
    <row r="18" spans="1:46" customFormat="1" ht="38.25">
      <c r="A18" s="59" t="s">
        <v>33</v>
      </c>
      <c r="B18" s="60" t="s">
        <v>34</v>
      </c>
      <c r="C18" s="64" t="s">
        <v>26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</row>
    <row r="19" spans="1:46"/>
    <row r="20" spans="1:46">
      <c r="A20" s="38"/>
      <c r="B20" s="39"/>
      <c r="C20" s="39"/>
      <c r="D20" s="39"/>
      <c r="E20" s="39"/>
      <c r="F20" s="39"/>
    </row>
    <row r="21" spans="1:46" ht="12.75">
      <c r="A21" s="40" t="s">
        <v>35</v>
      </c>
      <c r="B21" s="41"/>
      <c r="C21" s="41"/>
      <c r="D21" s="41"/>
      <c r="E21" s="42" t="s">
        <v>36</v>
      </c>
      <c r="F21" s="43"/>
    </row>
    <row r="22" spans="1:46" ht="12.75">
      <c r="A22" s="44"/>
      <c r="B22" s="43"/>
      <c r="C22" s="43"/>
      <c r="D22" s="43"/>
      <c r="E22" s="42" t="s">
        <v>37</v>
      </c>
      <c r="F22" s="43"/>
    </row>
    <row r="23" spans="1:46" ht="12.75">
      <c r="A23" s="44" t="s">
        <v>38</v>
      </c>
      <c r="B23" s="43"/>
      <c r="C23" s="43"/>
      <c r="D23" s="43"/>
      <c r="E23" s="43"/>
      <c r="F23" s="43"/>
    </row>
    <row r="24" spans="1:46" ht="12.75">
      <c r="A24" s="44" t="s">
        <v>39</v>
      </c>
      <c r="B24" s="43"/>
      <c r="C24" s="43"/>
      <c r="D24" s="43"/>
      <c r="E24" s="43"/>
      <c r="F24" s="43"/>
    </row>
    <row r="25" spans="1:46" ht="12.75">
      <c r="A25" s="44" t="s">
        <v>40</v>
      </c>
      <c r="B25" s="43"/>
      <c r="C25" s="43"/>
      <c r="D25" s="43"/>
      <c r="E25" s="43"/>
      <c r="F25" s="43"/>
    </row>
    <row r="26" spans="1:46" ht="12.75">
      <c r="A26" s="44" t="s">
        <v>41</v>
      </c>
      <c r="B26" s="43"/>
      <c r="C26" s="43"/>
      <c r="D26" s="43"/>
      <c r="E26" s="43"/>
      <c r="F26" s="43"/>
    </row>
    <row r="27" spans="1:46" ht="12.75">
      <c r="A27" s="44" t="s">
        <v>42</v>
      </c>
      <c r="B27" s="43"/>
      <c r="C27" s="43"/>
      <c r="D27" s="43"/>
      <c r="E27" s="43"/>
      <c r="F27" s="43"/>
    </row>
    <row r="28" spans="1:46" ht="12.75">
      <c r="A28" s="44" t="s">
        <v>43</v>
      </c>
      <c r="B28" s="43"/>
      <c r="C28" s="43"/>
      <c r="D28" s="43"/>
      <c r="E28" s="43"/>
      <c r="F28" s="43"/>
    </row>
    <row r="29" spans="1:46" ht="12.75">
      <c r="A29" s="44" t="s">
        <v>44</v>
      </c>
      <c r="B29" s="43"/>
      <c r="C29" s="43"/>
      <c r="D29" s="43"/>
      <c r="E29" s="43"/>
      <c r="F29" s="43"/>
    </row>
    <row r="30" spans="1:46" ht="12.75">
      <c r="A30" s="44" t="s">
        <v>45</v>
      </c>
      <c r="B30" s="43"/>
      <c r="C30" s="43"/>
      <c r="D30" s="43"/>
      <c r="E30" s="43"/>
      <c r="F30" s="43"/>
    </row>
    <row r="31" spans="1:46">
      <c r="A31" s="45"/>
      <c r="B31" s="46"/>
      <c r="C31" s="46"/>
      <c r="D31" s="46"/>
      <c r="E31" s="46"/>
      <c r="F31" s="46"/>
    </row>
  </sheetData>
  <dataConsolidate/>
  <phoneticPr fontId="2" type="noConversion"/>
  <conditionalFormatting sqref="B4:B7">
    <cfRule type="duplicateValues" dxfId="87" priority="73"/>
    <cfRule type="duplicateValues" dxfId="86" priority="74"/>
    <cfRule type="duplicateValues" dxfId="85" priority="75"/>
  </conditionalFormatting>
  <conditionalFormatting sqref="F3:F7">
    <cfRule type="duplicateValues" dxfId="84" priority="76"/>
    <cfRule type="duplicateValues" dxfId="83" priority="77"/>
  </conditionalFormatting>
  <conditionalFormatting sqref="G3:AK7">
    <cfRule type="containsText" dxfId="82" priority="55" operator="containsText" text="NA">
      <formula>NOT(ISERROR(SEARCH("NA",G3)))</formula>
    </cfRule>
    <cfRule type="containsText" dxfId="81" priority="56" operator="containsText" text="NS">
      <formula>NOT(ISERROR(SEARCH("NS",G3)))</formula>
    </cfRule>
    <cfRule type="containsText" dxfId="80" priority="57" operator="containsText" text="AD">
      <formula>NOT(ISERROR(SEARCH("AD",G3)))</formula>
    </cfRule>
    <cfRule type="containsText" dxfId="79" priority="58" operator="containsText" text="AD">
      <formula>NOT(ISERROR(SEARCH("AD",G3)))</formula>
    </cfRule>
    <cfRule type="containsText" dxfId="78" priority="59" operator="containsText" text="Com">
      <formula>NOT(ISERROR(SEARCH("Com",G3)))</formula>
    </cfRule>
    <cfRule type="containsText" dxfId="77" priority="60" operator="containsText" text="PH">
      <formula>NOT(ISERROR(SEARCH("PH",G3)))</formula>
    </cfRule>
    <cfRule type="containsText" dxfId="76" priority="61" operator="containsText" text="L">
      <formula>NOT(ISERROR(SEARCH("L",G3)))</formula>
    </cfRule>
    <cfRule type="containsText" dxfId="75" priority="62" operator="containsText" text="P">
      <formula>NOT(ISERROR(SEARCH("P",G3)))</formula>
    </cfRule>
    <cfRule type="containsText" dxfId="74" priority="63" operator="containsText" text="NS">
      <formula>NOT(ISERROR(SEARCH("NS",G3)))</formula>
    </cfRule>
    <cfRule type="containsText" dxfId="73" priority="64" operator="containsText" text="AD">
      <formula>NOT(ISERROR(SEARCH("AD",G3)))</formula>
    </cfRule>
    <cfRule type="containsText" dxfId="72" priority="65" operator="containsText" text="Com">
      <formula>NOT(ISERROR(SEARCH("Com",G3)))</formula>
    </cfRule>
    <cfRule type="containsText" dxfId="71" priority="66" operator="containsText" text="PH">
      <formula>NOT(ISERROR(SEARCH("PH",G3)))</formula>
    </cfRule>
    <cfRule type="containsText" dxfId="70" priority="67" operator="containsText" text="L">
      <formula>NOT(ISERROR(SEARCH("L",G3)))</formula>
    </cfRule>
    <cfRule type="containsText" dxfId="69" priority="68" operator="containsText" text="P">
      <formula>NOT(ISERROR(SEARCH("P",G3)))</formula>
    </cfRule>
  </conditionalFormatting>
  <conditionalFormatting sqref="G8:AL9">
    <cfRule type="containsText" dxfId="68" priority="78" operator="containsText" text="NA">
      <formula>NOT(ISERROR(SEARCH("NA",G8)))</formula>
    </cfRule>
    <cfRule type="containsText" dxfId="67" priority="79" operator="containsText" text="NS">
      <formula>NOT(ISERROR(SEARCH("NS",G8)))</formula>
    </cfRule>
    <cfRule type="containsText" dxfId="66" priority="80" operator="containsText" text="AD">
      <formula>NOT(ISERROR(SEARCH("AD",G8)))</formula>
    </cfRule>
    <cfRule type="containsText" dxfId="65" priority="81" operator="containsText" text="AD">
      <formula>NOT(ISERROR(SEARCH("AD",G8)))</formula>
    </cfRule>
    <cfRule type="containsText" dxfId="64" priority="82" operator="containsText" text="Com">
      <formula>NOT(ISERROR(SEARCH("Com",G8)))</formula>
    </cfRule>
    <cfRule type="containsText" dxfId="63" priority="83" operator="containsText" text="PH">
      <formula>NOT(ISERROR(SEARCH("PH",G8)))</formula>
    </cfRule>
    <cfRule type="containsText" dxfId="62" priority="84" operator="containsText" text="L">
      <formula>NOT(ISERROR(SEARCH("L",G8)))</formula>
    </cfRule>
    <cfRule type="containsText" dxfId="61" priority="85" operator="containsText" text="P">
      <formula>NOT(ISERROR(SEARCH("P",G8)))</formula>
    </cfRule>
    <cfRule type="containsText" dxfId="60" priority="86" operator="containsText" text="NS">
      <formula>NOT(ISERROR(SEARCH("NS",G8)))</formula>
    </cfRule>
    <cfRule type="containsText" dxfId="59" priority="87" operator="containsText" text="AD">
      <formula>NOT(ISERROR(SEARCH("AD",G8)))</formula>
    </cfRule>
    <cfRule type="containsText" dxfId="58" priority="88" operator="containsText" text="Com">
      <formula>NOT(ISERROR(SEARCH("Com",G8)))</formula>
    </cfRule>
    <cfRule type="containsText" dxfId="57" priority="89" operator="containsText" text="PH">
      <formula>NOT(ISERROR(SEARCH("PH",G8)))</formula>
    </cfRule>
    <cfRule type="containsText" dxfId="56" priority="90" operator="containsText" text="L">
      <formula>NOT(ISERROR(SEARCH("L",G8)))</formula>
    </cfRule>
    <cfRule type="containsText" dxfId="55" priority="91" operator="containsText" text="P">
      <formula>NOT(ISERROR(SEARCH("P",G8)))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9" operator="containsText" id="{3D9856F2-CB9C-48A9-8465-1028DA3A94BE}">
            <xm:f>NOT(ISERROR(SEARCH($B$92,G3)))</xm:f>
            <xm:f>$B$92</xm:f>
            <x14:dxf>
              <font>
                <color rgb="FF9C0006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70" operator="containsText" id="{5A2751AD-7F46-4CCD-8933-8B835B63FF81}">
            <xm:f>NOT(ISERROR(SEARCH(#REF!,G3)))</xm:f>
            <xm:f>#REF!</xm:f>
            <x14:dxf>
              <font>
                <color rgb="FF9C0006"/>
              </font>
              <fill>
                <patternFill>
                  <bgColor rgb="FFFFC000"/>
                </patternFill>
              </fill>
            </x14:dxf>
          </x14:cfRule>
          <x14:cfRule type="containsText" priority="71" operator="containsText" id="{912CD984-A2B9-4F43-966B-909FD6E9DBA4}">
            <xm:f>NOT(ISERROR(SEARCH($B$93,G3)))</xm:f>
            <xm:f>$B$93</xm:f>
            <x14:dxf>
              <font>
                <color rgb="FF9C0006"/>
              </font>
              <fill>
                <patternFill>
                  <bgColor rgb="FFFFFF00"/>
                </patternFill>
              </fill>
            </x14:dxf>
          </x14:cfRule>
          <x14:cfRule type="containsText" priority="72" operator="containsText" id="{6F3BF2F6-8317-413A-B1E5-6E2B082E6EE9}">
            <xm:f>NOT(ISERROR(SEARCH($B$90,G3)))</xm:f>
            <xm:f>$B$90</xm:f>
            <x14:dxf>
              <font>
                <color rgb="FF9C0006"/>
              </font>
              <fill>
                <patternFill>
                  <bgColor rgb="FF92D050"/>
                </patternFill>
              </fill>
            </x14:dxf>
          </x14:cfRule>
          <xm:sqref>G3:AK7</xm:sqref>
        </x14:conditionalFormatting>
        <x14:conditionalFormatting xmlns:xm="http://schemas.microsoft.com/office/excel/2006/main">
          <x14:cfRule type="containsText" priority="92" operator="containsText" id="{427593CC-8E0D-4799-8546-8888DC5B0D66}">
            <xm:f>NOT(ISERROR(SEARCH($B$12,G8)))</xm:f>
            <xm:f>$B$12</xm:f>
            <x14:dxf>
              <font>
                <color rgb="FF9C0006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93" operator="containsText" id="{89A2A8E5-F6FE-4621-9FDE-F8B1D6E20D90}">
            <xm:f>NOT(ISERROR(SEARCH(#REF!,G8)))</xm:f>
            <xm:f>#REF!</xm:f>
            <x14:dxf>
              <font>
                <color rgb="FF9C0006"/>
              </font>
              <fill>
                <patternFill>
                  <bgColor rgb="FFFFC000"/>
                </patternFill>
              </fill>
            </x14:dxf>
          </x14:cfRule>
          <x14:cfRule type="containsText" priority="94" operator="containsText" id="{A6CF895B-C3FF-4386-AADE-F36F98513FAF}">
            <xm:f>NOT(ISERROR(SEARCH($B$13,G8)))</xm:f>
            <xm:f>$B$13</xm:f>
            <x14:dxf>
              <font>
                <color rgb="FF9C0006"/>
              </font>
              <fill>
                <patternFill>
                  <bgColor rgb="FFFFFF00"/>
                </patternFill>
              </fill>
            </x14:dxf>
          </x14:cfRule>
          <x14:cfRule type="containsText" priority="95" operator="containsText" id="{CA9261EB-AADB-4513-9EBE-23B271615F7C}">
            <xm:f>NOT(ISERROR(SEARCH($B$10,G8)))</xm:f>
            <xm:f>$B$10</xm:f>
            <x14:dxf>
              <font>
                <color rgb="FF9C0006"/>
              </font>
              <fill>
                <patternFill>
                  <bgColor rgb="FF92D050"/>
                </patternFill>
              </fill>
            </x14:dxf>
          </x14:cfRule>
          <xm:sqref>G8:AL9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3D46-ECC8-401D-BB9D-C6579F21F515}">
  <dimension ref="A1:I495"/>
  <sheetViews>
    <sheetView topLeftCell="A484" workbookViewId="0">
      <selection activeCell="C495" sqref="C495"/>
    </sheetView>
  </sheetViews>
  <sheetFormatPr defaultRowHeight="14.45"/>
  <cols>
    <col min="1" max="1" width="4.7109375" bestFit="1" customWidth="1"/>
    <col min="2" max="2" width="8" bestFit="1" customWidth="1"/>
    <col min="3" max="3" width="9" bestFit="1" customWidth="1"/>
    <col min="4" max="4" width="36.7109375" bestFit="1" customWidth="1"/>
    <col min="5" max="5" width="5.5703125" bestFit="1" customWidth="1"/>
    <col min="6" max="6" width="17" bestFit="1" customWidth="1"/>
    <col min="7" max="7" width="18.7109375" bestFit="1" customWidth="1"/>
    <col min="8" max="8" width="17.7109375" bestFit="1" customWidth="1"/>
    <col min="9" max="9" width="24.28515625" bestFit="1" customWidth="1"/>
  </cols>
  <sheetData>
    <row r="1" spans="1:9">
      <c r="A1" s="1" t="s">
        <v>46</v>
      </c>
      <c r="B1" s="2" t="s">
        <v>47</v>
      </c>
      <c r="C1" s="3" t="s">
        <v>48</v>
      </c>
      <c r="D1" s="2" t="s">
        <v>49</v>
      </c>
      <c r="E1" s="2" t="s">
        <v>50</v>
      </c>
      <c r="F1" s="2" t="s">
        <v>3</v>
      </c>
      <c r="G1" s="2" t="s">
        <v>51</v>
      </c>
      <c r="H1" s="2" t="s">
        <v>3</v>
      </c>
      <c r="I1" s="4" t="s">
        <v>52</v>
      </c>
    </row>
    <row r="2" spans="1:9">
      <c r="A2" s="5">
        <v>1</v>
      </c>
      <c r="B2" s="6">
        <v>1018999</v>
      </c>
      <c r="C2" s="7">
        <v>69064721</v>
      </c>
      <c r="D2" s="8" t="s">
        <v>53</v>
      </c>
      <c r="E2" s="8" t="s">
        <v>54</v>
      </c>
      <c r="F2" s="8" t="s">
        <v>55</v>
      </c>
      <c r="G2" s="8" t="s">
        <v>55</v>
      </c>
      <c r="H2" s="8" t="s">
        <v>55</v>
      </c>
      <c r="I2" s="8" t="s">
        <v>55</v>
      </c>
    </row>
    <row r="3" spans="1:9">
      <c r="A3" s="5">
        <v>2</v>
      </c>
      <c r="B3" s="6">
        <v>1019191</v>
      </c>
      <c r="C3" s="7">
        <v>69103373</v>
      </c>
      <c r="D3" s="8" t="s">
        <v>56</v>
      </c>
      <c r="E3" s="8" t="s">
        <v>54</v>
      </c>
      <c r="F3" s="8" t="s">
        <v>57</v>
      </c>
      <c r="G3" s="8" t="s">
        <v>57</v>
      </c>
      <c r="H3" s="8" t="s">
        <v>57</v>
      </c>
      <c r="I3" s="8" t="s">
        <v>57</v>
      </c>
    </row>
    <row r="4" spans="1:9">
      <c r="A4" s="5">
        <f>A3+1</f>
        <v>3</v>
      </c>
      <c r="B4" s="6">
        <v>1019233</v>
      </c>
      <c r="C4" s="7">
        <v>69105580</v>
      </c>
      <c r="D4" s="8" t="s">
        <v>58</v>
      </c>
      <c r="E4" s="8" t="s">
        <v>54</v>
      </c>
      <c r="F4" s="8" t="s">
        <v>57</v>
      </c>
      <c r="G4" s="8" t="s">
        <v>57</v>
      </c>
      <c r="H4" s="8" t="s">
        <v>57</v>
      </c>
      <c r="I4" s="8" t="s">
        <v>57</v>
      </c>
    </row>
    <row r="5" spans="1:9">
      <c r="A5" s="5">
        <f t="shared" ref="A5:A68" si="0">A4+1</f>
        <v>4</v>
      </c>
      <c r="B5" s="6">
        <v>1019383</v>
      </c>
      <c r="C5" s="7">
        <v>69107597</v>
      </c>
      <c r="D5" s="8" t="s">
        <v>59</v>
      </c>
      <c r="E5" s="8" t="s">
        <v>54</v>
      </c>
      <c r="F5" s="8" t="s">
        <v>57</v>
      </c>
      <c r="G5" s="8" t="s">
        <v>57</v>
      </c>
      <c r="H5" s="8" t="s">
        <v>57</v>
      </c>
      <c r="I5" s="8" t="s">
        <v>57</v>
      </c>
    </row>
    <row r="6" spans="1:9">
      <c r="A6" s="5">
        <f t="shared" si="0"/>
        <v>5</v>
      </c>
      <c r="B6" s="6">
        <v>1019684</v>
      </c>
      <c r="C6" s="7">
        <v>69122063</v>
      </c>
      <c r="D6" s="8" t="s">
        <v>60</v>
      </c>
      <c r="E6" s="8" t="s">
        <v>54</v>
      </c>
      <c r="F6" s="8" t="s">
        <v>57</v>
      </c>
      <c r="G6" s="8" t="s">
        <v>57</v>
      </c>
      <c r="H6" s="8" t="s">
        <v>57</v>
      </c>
      <c r="I6" s="8" t="s">
        <v>57</v>
      </c>
    </row>
    <row r="7" spans="1:9">
      <c r="A7" s="5">
        <f t="shared" si="0"/>
        <v>6</v>
      </c>
      <c r="B7" s="6">
        <v>1019775</v>
      </c>
      <c r="C7" s="7">
        <v>69126069</v>
      </c>
      <c r="D7" s="8" t="s">
        <v>61</v>
      </c>
      <c r="E7" s="8" t="s">
        <v>54</v>
      </c>
      <c r="F7" s="8" t="s">
        <v>57</v>
      </c>
      <c r="G7" s="8" t="s">
        <v>57</v>
      </c>
      <c r="H7" s="8" t="s">
        <v>57</v>
      </c>
      <c r="I7" s="8" t="s">
        <v>57</v>
      </c>
    </row>
    <row r="8" spans="1:9">
      <c r="A8" s="5">
        <f t="shared" si="0"/>
        <v>7</v>
      </c>
      <c r="B8" s="6">
        <v>1019800</v>
      </c>
      <c r="C8" s="7">
        <v>69125314</v>
      </c>
      <c r="D8" s="8" t="s">
        <v>62</v>
      </c>
      <c r="E8" s="8" t="s">
        <v>54</v>
      </c>
      <c r="F8" s="8" t="s">
        <v>57</v>
      </c>
      <c r="G8" s="8" t="s">
        <v>57</v>
      </c>
      <c r="H8" s="8" t="s">
        <v>57</v>
      </c>
      <c r="I8" s="8" t="s">
        <v>57</v>
      </c>
    </row>
    <row r="9" spans="1:9">
      <c r="A9" s="5">
        <f t="shared" si="0"/>
        <v>8</v>
      </c>
      <c r="B9" s="6">
        <v>1020367</v>
      </c>
      <c r="C9" s="7">
        <v>69140270</v>
      </c>
      <c r="D9" s="8" t="s">
        <v>63</v>
      </c>
      <c r="E9" s="8" t="s">
        <v>54</v>
      </c>
      <c r="F9" s="8" t="s">
        <v>57</v>
      </c>
      <c r="G9" s="8" t="s">
        <v>57</v>
      </c>
      <c r="H9" s="8" t="s">
        <v>57</v>
      </c>
      <c r="I9" s="8" t="s">
        <v>57</v>
      </c>
    </row>
    <row r="10" spans="1:9">
      <c r="A10" s="5">
        <f t="shared" si="0"/>
        <v>9</v>
      </c>
      <c r="B10" s="6">
        <v>1020462</v>
      </c>
      <c r="C10" s="7">
        <v>69015421</v>
      </c>
      <c r="D10" s="8" t="s">
        <v>64</v>
      </c>
      <c r="E10" s="8" t="s">
        <v>54</v>
      </c>
      <c r="F10" s="8" t="s">
        <v>57</v>
      </c>
      <c r="G10" s="8" t="s">
        <v>57</v>
      </c>
      <c r="H10" s="8" t="s">
        <v>57</v>
      </c>
      <c r="I10" s="8" t="s">
        <v>57</v>
      </c>
    </row>
    <row r="11" spans="1:9">
      <c r="A11" s="5">
        <f t="shared" si="0"/>
        <v>10</v>
      </c>
      <c r="B11" s="6">
        <v>1020454</v>
      </c>
      <c r="C11" s="7">
        <v>69141785</v>
      </c>
      <c r="D11" s="8" t="s">
        <v>65</v>
      </c>
      <c r="E11" s="8" t="s">
        <v>54</v>
      </c>
      <c r="F11" s="8" t="s">
        <v>57</v>
      </c>
      <c r="G11" s="8" t="s">
        <v>57</v>
      </c>
      <c r="H11" s="8" t="s">
        <v>57</v>
      </c>
      <c r="I11" s="8" t="s">
        <v>57</v>
      </c>
    </row>
    <row r="12" spans="1:9">
      <c r="A12" s="5">
        <f t="shared" si="0"/>
        <v>11</v>
      </c>
      <c r="B12" s="6">
        <v>1020551</v>
      </c>
      <c r="C12" s="7">
        <v>62012995</v>
      </c>
      <c r="D12" s="8" t="s">
        <v>66</v>
      </c>
      <c r="E12" s="8" t="s">
        <v>54</v>
      </c>
      <c r="F12" s="8" t="s">
        <v>57</v>
      </c>
      <c r="G12" s="8" t="s">
        <v>57</v>
      </c>
      <c r="H12" s="8" t="s">
        <v>57</v>
      </c>
      <c r="I12" s="8" t="s">
        <v>57</v>
      </c>
    </row>
    <row r="13" spans="1:9">
      <c r="A13" s="5">
        <f t="shared" si="0"/>
        <v>12</v>
      </c>
      <c r="B13" s="6">
        <v>1020812</v>
      </c>
      <c r="C13" s="7">
        <v>69147734</v>
      </c>
      <c r="D13" s="8" t="s">
        <v>67</v>
      </c>
      <c r="E13" s="8" t="s">
        <v>54</v>
      </c>
      <c r="F13" s="8" t="s">
        <v>57</v>
      </c>
      <c r="G13" s="8" t="s">
        <v>57</v>
      </c>
      <c r="H13" s="8" t="s">
        <v>57</v>
      </c>
      <c r="I13" s="8" t="s">
        <v>57</v>
      </c>
    </row>
    <row r="14" spans="1:9">
      <c r="A14" s="5">
        <f t="shared" si="0"/>
        <v>13</v>
      </c>
      <c r="B14" s="6">
        <v>1020820</v>
      </c>
      <c r="C14" s="7">
        <v>69147319</v>
      </c>
      <c r="D14" s="8" t="s">
        <v>68</v>
      </c>
      <c r="E14" s="8" t="s">
        <v>54</v>
      </c>
      <c r="F14" s="8" t="s">
        <v>57</v>
      </c>
      <c r="G14" s="8" t="s">
        <v>57</v>
      </c>
      <c r="H14" s="8" t="s">
        <v>57</v>
      </c>
      <c r="I14" s="8" t="s">
        <v>57</v>
      </c>
    </row>
    <row r="15" spans="1:9">
      <c r="A15" s="5">
        <f t="shared" si="0"/>
        <v>14</v>
      </c>
      <c r="B15" s="6">
        <v>1020832</v>
      </c>
      <c r="C15" s="7">
        <v>69147743</v>
      </c>
      <c r="D15" s="8" t="s">
        <v>69</v>
      </c>
      <c r="E15" s="8" t="s">
        <v>54</v>
      </c>
      <c r="F15" s="8" t="s">
        <v>70</v>
      </c>
      <c r="G15" s="8" t="s">
        <v>71</v>
      </c>
      <c r="H15" s="8" t="s">
        <v>70</v>
      </c>
      <c r="I15" s="8" t="s">
        <v>70</v>
      </c>
    </row>
    <row r="16" spans="1:9">
      <c r="A16" s="5">
        <f t="shared" si="0"/>
        <v>15</v>
      </c>
      <c r="B16" s="6">
        <v>1020930</v>
      </c>
      <c r="C16" s="7">
        <v>69103511</v>
      </c>
      <c r="D16" s="8" t="s">
        <v>72</v>
      </c>
      <c r="E16" s="8" t="s">
        <v>54</v>
      </c>
      <c r="F16" s="8" t="s">
        <v>57</v>
      </c>
      <c r="G16" s="8" t="s">
        <v>57</v>
      </c>
      <c r="H16" s="8" t="s">
        <v>57</v>
      </c>
      <c r="I16" s="8" t="s">
        <v>57</v>
      </c>
    </row>
    <row r="17" spans="1:9">
      <c r="A17" s="5">
        <f t="shared" si="0"/>
        <v>16</v>
      </c>
      <c r="B17" s="6">
        <v>1020974</v>
      </c>
      <c r="C17" s="7">
        <v>69148785</v>
      </c>
      <c r="D17" s="8" t="s">
        <v>73</v>
      </c>
      <c r="E17" s="8" t="s">
        <v>54</v>
      </c>
      <c r="F17" s="8" t="s">
        <v>57</v>
      </c>
      <c r="G17" s="8" t="s">
        <v>57</v>
      </c>
      <c r="H17" s="8" t="s">
        <v>57</v>
      </c>
      <c r="I17" s="8" t="s">
        <v>57</v>
      </c>
    </row>
    <row r="18" spans="1:9">
      <c r="A18" s="5">
        <f t="shared" si="0"/>
        <v>17</v>
      </c>
      <c r="B18" s="6">
        <v>1019963</v>
      </c>
      <c r="C18" s="7">
        <v>69130950</v>
      </c>
      <c r="D18" s="8" t="s">
        <v>74</v>
      </c>
      <c r="E18" s="8" t="s">
        <v>54</v>
      </c>
      <c r="F18" s="8" t="s">
        <v>57</v>
      </c>
      <c r="G18" s="8" t="s">
        <v>57</v>
      </c>
      <c r="H18" s="8" t="s">
        <v>57</v>
      </c>
      <c r="I18" s="8" t="s">
        <v>57</v>
      </c>
    </row>
    <row r="19" spans="1:9">
      <c r="A19" s="5">
        <f t="shared" si="0"/>
        <v>18</v>
      </c>
      <c r="B19" s="6">
        <v>1020987</v>
      </c>
      <c r="C19" s="7">
        <v>69149264</v>
      </c>
      <c r="D19" s="8" t="s">
        <v>75</v>
      </c>
      <c r="E19" s="8" t="s">
        <v>54</v>
      </c>
      <c r="F19" s="8" t="s">
        <v>57</v>
      </c>
      <c r="G19" s="8" t="s">
        <v>57</v>
      </c>
      <c r="H19" s="8" t="s">
        <v>57</v>
      </c>
      <c r="I19" s="8" t="s">
        <v>57</v>
      </c>
    </row>
    <row r="20" spans="1:9">
      <c r="A20" s="5">
        <f t="shared" si="0"/>
        <v>19</v>
      </c>
      <c r="B20" s="6">
        <v>1019791</v>
      </c>
      <c r="C20" s="7">
        <v>69098581</v>
      </c>
      <c r="D20" s="8" t="s">
        <v>76</v>
      </c>
      <c r="E20" s="8" t="s">
        <v>54</v>
      </c>
      <c r="F20" s="8" t="s">
        <v>57</v>
      </c>
      <c r="G20" s="8" t="s">
        <v>57</v>
      </c>
      <c r="H20" s="8" t="s">
        <v>57</v>
      </c>
      <c r="I20" s="8" t="s">
        <v>57</v>
      </c>
    </row>
    <row r="21" spans="1:9">
      <c r="A21" s="5">
        <f t="shared" si="0"/>
        <v>20</v>
      </c>
      <c r="B21" s="6">
        <v>1021270</v>
      </c>
      <c r="C21" s="7">
        <v>69152773</v>
      </c>
      <c r="D21" s="8" t="s">
        <v>77</v>
      </c>
      <c r="E21" s="8" t="s">
        <v>54</v>
      </c>
      <c r="F21" s="8" t="s">
        <v>57</v>
      </c>
      <c r="G21" s="8" t="s">
        <v>57</v>
      </c>
      <c r="H21" s="8" t="s">
        <v>57</v>
      </c>
      <c r="I21" s="8" t="s">
        <v>57</v>
      </c>
    </row>
    <row r="22" spans="1:9">
      <c r="A22" s="5">
        <f t="shared" si="0"/>
        <v>21</v>
      </c>
      <c r="B22" s="6">
        <v>1021349</v>
      </c>
      <c r="C22" s="7"/>
      <c r="D22" s="8" t="s">
        <v>78</v>
      </c>
      <c r="E22" s="8" t="s">
        <v>54</v>
      </c>
      <c r="F22" s="8" t="s">
        <v>57</v>
      </c>
      <c r="G22" s="8" t="s">
        <v>57</v>
      </c>
      <c r="H22" s="8" t="s">
        <v>57</v>
      </c>
      <c r="I22" s="8" t="s">
        <v>57</v>
      </c>
    </row>
    <row r="23" spans="1:9">
      <c r="A23" s="5">
        <f t="shared" si="0"/>
        <v>22</v>
      </c>
      <c r="B23" s="6">
        <v>1021395</v>
      </c>
      <c r="C23" s="7">
        <v>69155384</v>
      </c>
      <c r="D23" s="8" t="s">
        <v>79</v>
      </c>
      <c r="E23" s="8" t="s">
        <v>54</v>
      </c>
      <c r="F23" s="8" t="s">
        <v>57</v>
      </c>
      <c r="G23" s="8" t="s">
        <v>57</v>
      </c>
      <c r="H23" s="8" t="s">
        <v>57</v>
      </c>
      <c r="I23" s="8" t="s">
        <v>57</v>
      </c>
    </row>
    <row r="24" spans="1:9">
      <c r="A24" s="5">
        <f t="shared" si="0"/>
        <v>23</v>
      </c>
      <c r="B24" s="6">
        <v>1021413</v>
      </c>
      <c r="C24" s="7">
        <v>69011232</v>
      </c>
      <c r="D24" s="8" t="s">
        <v>80</v>
      </c>
      <c r="E24" s="8" t="s">
        <v>54</v>
      </c>
      <c r="F24" s="8" t="s">
        <v>57</v>
      </c>
      <c r="G24" s="8" t="s">
        <v>57</v>
      </c>
      <c r="H24" s="8" t="s">
        <v>57</v>
      </c>
      <c r="I24" s="8" t="s">
        <v>57</v>
      </c>
    </row>
    <row r="25" spans="1:9">
      <c r="A25" s="5">
        <f t="shared" si="0"/>
        <v>24</v>
      </c>
      <c r="B25" s="6">
        <v>1021435</v>
      </c>
      <c r="C25" s="7">
        <v>69153589</v>
      </c>
      <c r="D25" s="8" t="s">
        <v>81</v>
      </c>
      <c r="E25" s="8" t="s">
        <v>54</v>
      </c>
      <c r="F25" s="8" t="s">
        <v>57</v>
      </c>
      <c r="G25" s="8" t="s">
        <v>57</v>
      </c>
      <c r="H25" s="8" t="s">
        <v>57</v>
      </c>
      <c r="I25" s="8" t="s">
        <v>57</v>
      </c>
    </row>
    <row r="26" spans="1:9">
      <c r="A26" s="5">
        <f t="shared" si="0"/>
        <v>25</v>
      </c>
      <c r="B26" s="6">
        <v>1021101</v>
      </c>
      <c r="C26" s="7">
        <v>0</v>
      </c>
      <c r="D26" s="8" t="s">
        <v>82</v>
      </c>
      <c r="E26" s="8" t="s">
        <v>54</v>
      </c>
      <c r="F26" s="8" t="s">
        <v>57</v>
      </c>
      <c r="G26" s="8" t="s">
        <v>57</v>
      </c>
      <c r="H26" s="8" t="s">
        <v>57</v>
      </c>
      <c r="I26" s="8" t="s">
        <v>57</v>
      </c>
    </row>
    <row r="27" spans="1:9">
      <c r="A27" s="5">
        <f t="shared" si="0"/>
        <v>26</v>
      </c>
      <c r="B27" s="6">
        <v>1021519</v>
      </c>
      <c r="C27" s="7">
        <v>0</v>
      </c>
      <c r="D27" s="8" t="s">
        <v>83</v>
      </c>
      <c r="E27" s="8" t="s">
        <v>54</v>
      </c>
      <c r="F27" s="8" t="s">
        <v>57</v>
      </c>
      <c r="G27" s="8" t="s">
        <v>57</v>
      </c>
      <c r="H27" s="8" t="s">
        <v>57</v>
      </c>
      <c r="I27" s="8" t="s">
        <v>57</v>
      </c>
    </row>
    <row r="28" spans="1:9">
      <c r="A28" s="5">
        <f t="shared" si="0"/>
        <v>27</v>
      </c>
      <c r="B28" s="6">
        <v>1021585</v>
      </c>
      <c r="C28" s="7" t="e">
        <v>#N/A</v>
      </c>
      <c r="D28" s="8" t="s">
        <v>84</v>
      </c>
      <c r="E28" s="8" t="s">
        <v>54</v>
      </c>
      <c r="F28" s="8" t="s">
        <v>57</v>
      </c>
      <c r="G28" s="8" t="s">
        <v>57</v>
      </c>
      <c r="H28" s="8" t="s">
        <v>57</v>
      </c>
      <c r="I28" s="8" t="s">
        <v>57</v>
      </c>
    </row>
    <row r="29" spans="1:9">
      <c r="A29" s="5">
        <f t="shared" si="0"/>
        <v>28</v>
      </c>
      <c r="B29" s="6">
        <v>1021614</v>
      </c>
      <c r="C29" s="7" t="e">
        <v>#N/A</v>
      </c>
      <c r="D29" s="8" t="s">
        <v>85</v>
      </c>
      <c r="E29" s="8" t="s">
        <v>54</v>
      </c>
      <c r="F29" s="8" t="s">
        <v>57</v>
      </c>
      <c r="G29" s="8" t="s">
        <v>57</v>
      </c>
      <c r="H29" s="8" t="s">
        <v>57</v>
      </c>
      <c r="I29" s="8" t="s">
        <v>57</v>
      </c>
    </row>
    <row r="30" spans="1:9">
      <c r="A30" s="5">
        <f t="shared" si="0"/>
        <v>29</v>
      </c>
      <c r="B30" s="6">
        <v>1021625</v>
      </c>
      <c r="C30" s="7" t="e">
        <v>#N/A</v>
      </c>
      <c r="D30" s="8" t="s">
        <v>86</v>
      </c>
      <c r="E30" s="8" t="s">
        <v>54</v>
      </c>
      <c r="F30" s="8" t="s">
        <v>57</v>
      </c>
      <c r="G30" s="8" t="s">
        <v>57</v>
      </c>
      <c r="H30" s="8" t="s">
        <v>57</v>
      </c>
      <c r="I30" s="8" t="s">
        <v>57</v>
      </c>
    </row>
    <row r="31" spans="1:9">
      <c r="A31" s="5">
        <f t="shared" si="0"/>
        <v>30</v>
      </c>
      <c r="B31" s="6">
        <v>1021630</v>
      </c>
      <c r="C31" s="7" t="e">
        <v>#N/A</v>
      </c>
      <c r="D31" s="8" t="s">
        <v>87</v>
      </c>
      <c r="E31" s="8" t="s">
        <v>54</v>
      </c>
      <c r="F31" s="8" t="s">
        <v>57</v>
      </c>
      <c r="G31" s="8" t="s">
        <v>57</v>
      </c>
      <c r="H31" s="8" t="s">
        <v>57</v>
      </c>
      <c r="I31" s="8" t="s">
        <v>57</v>
      </c>
    </row>
    <row r="32" spans="1:9">
      <c r="A32" s="5">
        <f t="shared" si="0"/>
        <v>31</v>
      </c>
      <c r="B32" s="6">
        <v>1021711</v>
      </c>
      <c r="C32" s="7" t="e">
        <v>#N/A</v>
      </c>
      <c r="D32" s="8" t="s">
        <v>88</v>
      </c>
      <c r="E32" s="8" t="s">
        <v>54</v>
      </c>
      <c r="F32" s="8" t="s">
        <v>57</v>
      </c>
      <c r="G32" s="8" t="s">
        <v>57</v>
      </c>
      <c r="H32" s="8" t="s">
        <v>57</v>
      </c>
      <c r="I32" s="8" t="s">
        <v>57</v>
      </c>
    </row>
    <row r="33" spans="1:9">
      <c r="A33" s="5">
        <f t="shared" si="0"/>
        <v>32</v>
      </c>
      <c r="B33" s="6">
        <v>1019393</v>
      </c>
      <c r="C33" s="7"/>
      <c r="D33" s="8" t="s">
        <v>89</v>
      </c>
      <c r="E33" s="8" t="s">
        <v>54</v>
      </c>
      <c r="F33" s="8" t="s">
        <v>90</v>
      </c>
      <c r="G33" s="8" t="s">
        <v>90</v>
      </c>
      <c r="H33" s="8" t="s">
        <v>90</v>
      </c>
      <c r="I33" s="8" t="s">
        <v>90</v>
      </c>
    </row>
    <row r="34" spans="1:9">
      <c r="A34" s="5">
        <f t="shared" si="0"/>
        <v>33</v>
      </c>
      <c r="B34" s="6">
        <v>1020421</v>
      </c>
      <c r="C34" s="7"/>
      <c r="D34" s="8" t="s">
        <v>91</v>
      </c>
      <c r="E34" s="8" t="s">
        <v>54</v>
      </c>
      <c r="F34" s="8" t="s">
        <v>92</v>
      </c>
      <c r="G34" s="8" t="s">
        <v>92</v>
      </c>
      <c r="H34" s="8" t="s">
        <v>93</v>
      </c>
      <c r="I34" s="8" t="s">
        <v>93</v>
      </c>
    </row>
    <row r="35" spans="1:9">
      <c r="A35" s="5">
        <f t="shared" si="0"/>
        <v>34</v>
      </c>
      <c r="B35" s="6">
        <v>1019696</v>
      </c>
      <c r="C35" s="7">
        <v>69063567</v>
      </c>
      <c r="D35" s="8" t="s">
        <v>94</v>
      </c>
      <c r="E35" s="8" t="s">
        <v>54</v>
      </c>
      <c r="F35" s="8" t="s">
        <v>95</v>
      </c>
      <c r="G35" s="8" t="s">
        <v>95</v>
      </c>
      <c r="H35" s="8" t="s">
        <v>95</v>
      </c>
      <c r="I35" s="8" t="s">
        <v>95</v>
      </c>
    </row>
    <row r="36" spans="1:9">
      <c r="A36" s="5">
        <f t="shared" si="0"/>
        <v>35</v>
      </c>
      <c r="B36" s="6">
        <v>1019532</v>
      </c>
      <c r="C36" s="7">
        <v>69111466</v>
      </c>
      <c r="D36" s="8" t="s">
        <v>96</v>
      </c>
      <c r="E36" s="8" t="s">
        <v>54</v>
      </c>
      <c r="F36" s="8" t="s">
        <v>95</v>
      </c>
      <c r="G36" s="8" t="s">
        <v>95</v>
      </c>
      <c r="H36" s="8" t="s">
        <v>95</v>
      </c>
      <c r="I36" s="8" t="s">
        <v>95</v>
      </c>
    </row>
    <row r="37" spans="1:9">
      <c r="A37" s="5">
        <f t="shared" si="0"/>
        <v>36</v>
      </c>
      <c r="B37" s="6">
        <v>1019579</v>
      </c>
      <c r="C37" s="7">
        <v>69111467</v>
      </c>
      <c r="D37" s="8" t="s">
        <v>97</v>
      </c>
      <c r="E37" s="8" t="s">
        <v>54</v>
      </c>
      <c r="F37" s="8" t="s">
        <v>95</v>
      </c>
      <c r="G37" s="8" t="s">
        <v>95</v>
      </c>
      <c r="H37" s="8" t="s">
        <v>95</v>
      </c>
      <c r="I37" s="8" t="s">
        <v>95</v>
      </c>
    </row>
    <row r="38" spans="1:9">
      <c r="A38" s="5">
        <f t="shared" si="0"/>
        <v>37</v>
      </c>
      <c r="B38" s="6">
        <v>1019584</v>
      </c>
      <c r="C38" s="7">
        <v>69111468</v>
      </c>
      <c r="D38" s="8" t="s">
        <v>98</v>
      </c>
      <c r="E38" s="8" t="s">
        <v>54</v>
      </c>
      <c r="F38" s="8" t="s">
        <v>95</v>
      </c>
      <c r="G38" s="8" t="s">
        <v>95</v>
      </c>
      <c r="H38" s="8" t="s">
        <v>95</v>
      </c>
      <c r="I38" s="8" t="s">
        <v>95</v>
      </c>
    </row>
    <row r="39" spans="1:9">
      <c r="A39" s="5">
        <f t="shared" si="0"/>
        <v>38</v>
      </c>
      <c r="B39" s="6">
        <v>1019663</v>
      </c>
      <c r="C39" s="7">
        <v>69075241</v>
      </c>
      <c r="D39" s="8" t="s">
        <v>99</v>
      </c>
      <c r="E39" s="8" t="s">
        <v>54</v>
      </c>
      <c r="F39" s="8" t="s">
        <v>95</v>
      </c>
      <c r="G39" s="8" t="s">
        <v>95</v>
      </c>
      <c r="H39" s="8" t="s">
        <v>95</v>
      </c>
      <c r="I39" s="8" t="s">
        <v>95</v>
      </c>
    </row>
    <row r="40" spans="1:9">
      <c r="A40" s="5">
        <f t="shared" si="0"/>
        <v>39</v>
      </c>
      <c r="B40" s="6">
        <v>1019265</v>
      </c>
      <c r="C40" s="7">
        <v>69103823</v>
      </c>
      <c r="D40" s="9" t="s">
        <v>100</v>
      </c>
      <c r="E40" s="8" t="s">
        <v>54</v>
      </c>
      <c r="F40" s="8" t="s">
        <v>95</v>
      </c>
      <c r="G40" s="8" t="s">
        <v>95</v>
      </c>
      <c r="H40" s="8" t="s">
        <v>95</v>
      </c>
      <c r="I40" s="8" t="s">
        <v>95</v>
      </c>
    </row>
    <row r="41" spans="1:9">
      <c r="A41" s="5">
        <f t="shared" si="0"/>
        <v>40</v>
      </c>
      <c r="B41" s="6">
        <v>1020015</v>
      </c>
      <c r="C41" s="7">
        <v>69131303</v>
      </c>
      <c r="D41" s="8" t="s">
        <v>101</v>
      </c>
      <c r="E41" s="8" t="s">
        <v>54</v>
      </c>
      <c r="F41" s="8" t="s">
        <v>95</v>
      </c>
      <c r="G41" s="8" t="s">
        <v>95</v>
      </c>
      <c r="H41" s="8" t="s">
        <v>95</v>
      </c>
      <c r="I41" s="8" t="s">
        <v>95</v>
      </c>
    </row>
    <row r="42" spans="1:9">
      <c r="A42" s="5">
        <f t="shared" si="0"/>
        <v>41</v>
      </c>
      <c r="B42" s="6">
        <v>1020196</v>
      </c>
      <c r="C42" s="7">
        <v>69134954</v>
      </c>
      <c r="D42" s="8" t="s">
        <v>102</v>
      </c>
      <c r="E42" s="8" t="s">
        <v>54</v>
      </c>
      <c r="F42" s="8" t="s">
        <v>95</v>
      </c>
      <c r="G42" s="8" t="s">
        <v>95</v>
      </c>
      <c r="H42" s="8" t="s">
        <v>95</v>
      </c>
      <c r="I42" s="8" t="s">
        <v>95</v>
      </c>
    </row>
    <row r="43" spans="1:9">
      <c r="A43" s="5">
        <f t="shared" si="0"/>
        <v>42</v>
      </c>
      <c r="B43" s="6">
        <v>1018425</v>
      </c>
      <c r="C43" s="7">
        <v>69092406</v>
      </c>
      <c r="D43" s="8" t="s">
        <v>103</v>
      </c>
      <c r="E43" s="8" t="s">
        <v>54</v>
      </c>
      <c r="F43" s="8" t="s">
        <v>95</v>
      </c>
      <c r="G43" s="8" t="s">
        <v>95</v>
      </c>
      <c r="H43" s="8" t="s">
        <v>95</v>
      </c>
      <c r="I43" s="8" t="s">
        <v>95</v>
      </c>
    </row>
    <row r="44" spans="1:9">
      <c r="A44" s="5">
        <f t="shared" si="0"/>
        <v>43</v>
      </c>
      <c r="B44" s="6">
        <v>1018814</v>
      </c>
      <c r="C44" s="7">
        <v>69096847</v>
      </c>
      <c r="D44" s="8" t="s">
        <v>104</v>
      </c>
      <c r="E44" s="8" t="s">
        <v>54</v>
      </c>
      <c r="F44" s="8" t="s">
        <v>95</v>
      </c>
      <c r="G44" s="8" t="s">
        <v>95</v>
      </c>
      <c r="H44" s="8" t="s">
        <v>95</v>
      </c>
      <c r="I44" s="8" t="s">
        <v>95</v>
      </c>
    </row>
    <row r="45" spans="1:9">
      <c r="A45" s="5">
        <f t="shared" si="0"/>
        <v>44</v>
      </c>
      <c r="B45" s="6">
        <v>1018653</v>
      </c>
      <c r="C45" s="7">
        <v>69094287</v>
      </c>
      <c r="D45" s="8" t="s">
        <v>105</v>
      </c>
      <c r="E45" s="8" t="s">
        <v>54</v>
      </c>
      <c r="F45" s="8" t="s">
        <v>95</v>
      </c>
      <c r="G45" s="8" t="s">
        <v>95</v>
      </c>
      <c r="H45" s="8" t="s">
        <v>95</v>
      </c>
      <c r="I45" s="8" t="s">
        <v>95</v>
      </c>
    </row>
    <row r="46" spans="1:9">
      <c r="A46" s="5">
        <f t="shared" si="0"/>
        <v>45</v>
      </c>
      <c r="B46" s="6">
        <v>1020594</v>
      </c>
      <c r="C46" s="7">
        <v>69144077</v>
      </c>
      <c r="D46" s="8" t="s">
        <v>106</v>
      </c>
      <c r="E46" s="8" t="s">
        <v>54</v>
      </c>
      <c r="F46" s="8" t="s">
        <v>95</v>
      </c>
      <c r="G46" s="8" t="s">
        <v>95</v>
      </c>
      <c r="H46" s="8" t="s">
        <v>95</v>
      </c>
      <c r="I46" s="8" t="s">
        <v>95</v>
      </c>
    </row>
    <row r="47" spans="1:9">
      <c r="A47" s="5">
        <f t="shared" si="0"/>
        <v>46</v>
      </c>
      <c r="B47" s="6">
        <v>1013452</v>
      </c>
      <c r="C47" s="7">
        <v>69067260</v>
      </c>
      <c r="D47" s="8" t="s">
        <v>107</v>
      </c>
      <c r="E47" s="8" t="s">
        <v>54</v>
      </c>
      <c r="F47" s="8" t="s">
        <v>95</v>
      </c>
      <c r="G47" s="8" t="s">
        <v>95</v>
      </c>
      <c r="H47" s="8" t="s">
        <v>95</v>
      </c>
      <c r="I47" s="8" t="s">
        <v>95</v>
      </c>
    </row>
    <row r="48" spans="1:9">
      <c r="A48" s="5">
        <f t="shared" si="0"/>
        <v>47</v>
      </c>
      <c r="B48" s="6">
        <v>1020922</v>
      </c>
      <c r="C48" s="7">
        <v>69063564</v>
      </c>
      <c r="D48" s="8" t="s">
        <v>108</v>
      </c>
      <c r="E48" s="8" t="s">
        <v>54</v>
      </c>
      <c r="F48" s="8" t="s">
        <v>95</v>
      </c>
      <c r="G48" s="8" t="s">
        <v>95</v>
      </c>
      <c r="H48" s="8" t="s">
        <v>95</v>
      </c>
      <c r="I48" s="8" t="s">
        <v>95</v>
      </c>
    </row>
    <row r="49" spans="1:9">
      <c r="A49" s="5">
        <f t="shared" si="0"/>
        <v>48</v>
      </c>
      <c r="B49" s="6">
        <v>1018920</v>
      </c>
      <c r="C49" s="7">
        <v>69107447</v>
      </c>
      <c r="D49" s="8" t="s">
        <v>109</v>
      </c>
      <c r="E49" s="8" t="s">
        <v>54</v>
      </c>
      <c r="F49" s="8" t="s">
        <v>110</v>
      </c>
      <c r="G49" s="8" t="s">
        <v>110</v>
      </c>
      <c r="H49" s="8" t="s">
        <v>110</v>
      </c>
      <c r="I49" s="8" t="s">
        <v>110</v>
      </c>
    </row>
    <row r="50" spans="1:9">
      <c r="A50" s="5">
        <f t="shared" si="0"/>
        <v>49</v>
      </c>
      <c r="B50" s="6">
        <v>1018945</v>
      </c>
      <c r="C50" s="7">
        <v>69110717</v>
      </c>
      <c r="D50" s="8" t="s">
        <v>111</v>
      </c>
      <c r="E50" s="8" t="s">
        <v>54</v>
      </c>
      <c r="F50" s="8" t="s">
        <v>110</v>
      </c>
      <c r="G50" s="8" t="s">
        <v>110</v>
      </c>
      <c r="H50" s="8" t="s">
        <v>110</v>
      </c>
      <c r="I50" s="8" t="s">
        <v>110</v>
      </c>
    </row>
    <row r="51" spans="1:9">
      <c r="A51" s="5">
        <f t="shared" si="0"/>
        <v>50</v>
      </c>
      <c r="B51" s="6">
        <v>1016056</v>
      </c>
      <c r="C51" s="7">
        <v>69105970</v>
      </c>
      <c r="D51" s="8" t="s">
        <v>112</v>
      </c>
      <c r="E51" s="8" t="s">
        <v>54</v>
      </c>
      <c r="F51" s="8" t="s">
        <v>110</v>
      </c>
      <c r="G51" s="8" t="s">
        <v>110</v>
      </c>
      <c r="H51" s="8" t="s">
        <v>110</v>
      </c>
      <c r="I51" s="8" t="s">
        <v>110</v>
      </c>
    </row>
    <row r="52" spans="1:9">
      <c r="A52" s="5">
        <f t="shared" si="0"/>
        <v>51</v>
      </c>
      <c r="B52" s="6">
        <v>1018381</v>
      </c>
      <c r="C52" s="7">
        <v>69101933</v>
      </c>
      <c r="D52" s="8" t="s">
        <v>113</v>
      </c>
      <c r="E52" s="8" t="s">
        <v>54</v>
      </c>
      <c r="F52" s="8" t="s">
        <v>110</v>
      </c>
      <c r="G52" s="8" t="s">
        <v>110</v>
      </c>
      <c r="H52" s="8" t="s">
        <v>110</v>
      </c>
      <c r="I52" s="8" t="s">
        <v>110</v>
      </c>
    </row>
    <row r="53" spans="1:9">
      <c r="A53" s="5">
        <f t="shared" si="0"/>
        <v>52</v>
      </c>
      <c r="B53" s="6">
        <v>1018401</v>
      </c>
      <c r="C53" s="7">
        <v>69110005</v>
      </c>
      <c r="D53" s="8" t="s">
        <v>114</v>
      </c>
      <c r="E53" s="8" t="s">
        <v>54</v>
      </c>
      <c r="F53" s="8" t="s">
        <v>110</v>
      </c>
      <c r="G53" s="8" t="s">
        <v>110</v>
      </c>
      <c r="H53" s="8" t="s">
        <v>110</v>
      </c>
      <c r="I53" s="8" t="s">
        <v>110</v>
      </c>
    </row>
    <row r="54" spans="1:9">
      <c r="A54" s="5">
        <f t="shared" si="0"/>
        <v>53</v>
      </c>
      <c r="B54" s="6">
        <v>1018977</v>
      </c>
      <c r="C54" s="7">
        <v>69101344</v>
      </c>
      <c r="D54" s="8" t="s">
        <v>115</v>
      </c>
      <c r="E54" s="8" t="s">
        <v>54</v>
      </c>
      <c r="F54" s="8" t="s">
        <v>110</v>
      </c>
      <c r="G54" s="8" t="s">
        <v>110</v>
      </c>
      <c r="H54" s="8" t="s">
        <v>110</v>
      </c>
      <c r="I54" s="8" t="s">
        <v>110</v>
      </c>
    </row>
    <row r="55" spans="1:9">
      <c r="A55" s="5">
        <f t="shared" si="0"/>
        <v>54</v>
      </c>
      <c r="B55" s="6">
        <v>1019027</v>
      </c>
      <c r="C55" s="7">
        <v>69108565</v>
      </c>
      <c r="D55" s="8" t="s">
        <v>116</v>
      </c>
      <c r="E55" s="8" t="s">
        <v>54</v>
      </c>
      <c r="F55" s="8" t="s">
        <v>110</v>
      </c>
      <c r="G55" s="8" t="s">
        <v>110</v>
      </c>
      <c r="H55" s="8" t="s">
        <v>110</v>
      </c>
      <c r="I55" s="8" t="s">
        <v>110</v>
      </c>
    </row>
    <row r="56" spans="1:9">
      <c r="A56" s="5">
        <f t="shared" si="0"/>
        <v>55</v>
      </c>
      <c r="B56" s="6">
        <v>1019074</v>
      </c>
      <c r="C56" s="7">
        <v>69110718</v>
      </c>
      <c r="D56" s="8" t="s">
        <v>117</v>
      </c>
      <c r="E56" s="8" t="s">
        <v>54</v>
      </c>
      <c r="F56" s="8" t="s">
        <v>110</v>
      </c>
      <c r="G56" s="8" t="s">
        <v>110</v>
      </c>
      <c r="H56" s="8" t="s">
        <v>110</v>
      </c>
      <c r="I56" s="8" t="s">
        <v>110</v>
      </c>
    </row>
    <row r="57" spans="1:9">
      <c r="A57" s="5">
        <f t="shared" si="0"/>
        <v>56</v>
      </c>
      <c r="B57" s="6">
        <v>1019111</v>
      </c>
      <c r="C57" s="7">
        <v>69110713</v>
      </c>
      <c r="D57" s="8" t="s">
        <v>118</v>
      </c>
      <c r="E57" s="8" t="s">
        <v>54</v>
      </c>
      <c r="F57" s="8" t="s">
        <v>110</v>
      </c>
      <c r="G57" s="8" t="s">
        <v>110</v>
      </c>
      <c r="H57" s="8" t="s">
        <v>110</v>
      </c>
      <c r="I57" s="8" t="s">
        <v>110</v>
      </c>
    </row>
    <row r="58" spans="1:9">
      <c r="A58" s="5">
        <f t="shared" si="0"/>
        <v>57</v>
      </c>
      <c r="B58" s="6">
        <v>1019236</v>
      </c>
      <c r="C58" s="7">
        <v>69107768</v>
      </c>
      <c r="D58" s="8" t="s">
        <v>119</v>
      </c>
      <c r="E58" s="8" t="s">
        <v>54</v>
      </c>
      <c r="F58" s="8" t="s">
        <v>110</v>
      </c>
      <c r="G58" s="8" t="s">
        <v>110</v>
      </c>
      <c r="H58" s="8" t="s">
        <v>110</v>
      </c>
      <c r="I58" s="8" t="s">
        <v>110</v>
      </c>
    </row>
    <row r="59" spans="1:9">
      <c r="A59" s="5">
        <f t="shared" si="0"/>
        <v>58</v>
      </c>
      <c r="B59" s="6">
        <v>1019305</v>
      </c>
      <c r="C59" s="7">
        <v>69110061</v>
      </c>
      <c r="D59" s="8" t="s">
        <v>120</v>
      </c>
      <c r="E59" s="8" t="s">
        <v>54</v>
      </c>
      <c r="F59" s="8" t="s">
        <v>110</v>
      </c>
      <c r="G59" s="8" t="s">
        <v>110</v>
      </c>
      <c r="H59" s="8" t="s">
        <v>110</v>
      </c>
      <c r="I59" s="8" t="s">
        <v>110</v>
      </c>
    </row>
    <row r="60" spans="1:9">
      <c r="A60" s="5">
        <f t="shared" si="0"/>
        <v>59</v>
      </c>
      <c r="B60" s="6">
        <v>1019326</v>
      </c>
      <c r="C60" s="7">
        <v>69110721</v>
      </c>
      <c r="D60" s="8" t="s">
        <v>121</v>
      </c>
      <c r="E60" s="8" t="s">
        <v>54</v>
      </c>
      <c r="F60" s="8" t="s">
        <v>110</v>
      </c>
      <c r="G60" s="8" t="s">
        <v>110</v>
      </c>
      <c r="H60" s="8" t="s">
        <v>110</v>
      </c>
      <c r="I60" s="8" t="s">
        <v>110</v>
      </c>
    </row>
    <row r="61" spans="1:9">
      <c r="A61" s="5">
        <f t="shared" si="0"/>
        <v>60</v>
      </c>
      <c r="B61" s="6">
        <v>1019327</v>
      </c>
      <c r="C61" s="7">
        <v>69108564</v>
      </c>
      <c r="D61" s="8" t="s">
        <v>122</v>
      </c>
      <c r="E61" s="8" t="s">
        <v>54</v>
      </c>
      <c r="F61" s="8" t="s">
        <v>110</v>
      </c>
      <c r="G61" s="8" t="s">
        <v>110</v>
      </c>
      <c r="H61" s="8" t="s">
        <v>110</v>
      </c>
      <c r="I61" s="8" t="s">
        <v>110</v>
      </c>
    </row>
    <row r="62" spans="1:9">
      <c r="A62" s="5">
        <f t="shared" si="0"/>
        <v>61</v>
      </c>
      <c r="B62" s="6">
        <v>1019370</v>
      </c>
      <c r="C62" s="7">
        <v>69110722</v>
      </c>
      <c r="D62" s="8" t="s">
        <v>123</v>
      </c>
      <c r="E62" s="8" t="s">
        <v>54</v>
      </c>
      <c r="F62" s="8" t="s">
        <v>110</v>
      </c>
      <c r="G62" s="8" t="s">
        <v>110</v>
      </c>
      <c r="H62" s="8" t="s">
        <v>110</v>
      </c>
      <c r="I62" s="8" t="s">
        <v>110</v>
      </c>
    </row>
    <row r="63" spans="1:9">
      <c r="A63" s="5">
        <f t="shared" si="0"/>
        <v>62</v>
      </c>
      <c r="B63" s="6">
        <v>1019371</v>
      </c>
      <c r="C63" s="7">
        <v>69110714</v>
      </c>
      <c r="D63" s="8" t="s">
        <v>124</v>
      </c>
      <c r="E63" s="8" t="s">
        <v>54</v>
      </c>
      <c r="F63" s="8" t="s">
        <v>110</v>
      </c>
      <c r="G63" s="8" t="s">
        <v>110</v>
      </c>
      <c r="H63" s="8" t="s">
        <v>110</v>
      </c>
      <c r="I63" s="8" t="s">
        <v>110</v>
      </c>
    </row>
    <row r="64" spans="1:9">
      <c r="A64" s="5">
        <f t="shared" si="0"/>
        <v>63</v>
      </c>
      <c r="B64" s="6">
        <v>1019410</v>
      </c>
      <c r="C64" s="7">
        <v>69110715</v>
      </c>
      <c r="D64" s="8" t="s">
        <v>125</v>
      </c>
      <c r="E64" s="8" t="s">
        <v>54</v>
      </c>
      <c r="F64" s="8" t="s">
        <v>110</v>
      </c>
      <c r="G64" s="8" t="s">
        <v>126</v>
      </c>
      <c r="H64" s="8" t="s">
        <v>110</v>
      </c>
      <c r="I64" s="8" t="s">
        <v>110</v>
      </c>
    </row>
    <row r="65" spans="1:9">
      <c r="A65" s="5">
        <f t="shared" si="0"/>
        <v>64</v>
      </c>
      <c r="B65" s="6">
        <v>1019466</v>
      </c>
      <c r="C65" s="7">
        <v>69110716</v>
      </c>
      <c r="D65" s="8" t="s">
        <v>127</v>
      </c>
      <c r="E65" s="8" t="s">
        <v>54</v>
      </c>
      <c r="F65" s="8" t="s">
        <v>110</v>
      </c>
      <c r="G65" s="8" t="s">
        <v>110</v>
      </c>
      <c r="H65" s="8" t="s">
        <v>110</v>
      </c>
      <c r="I65" s="8" t="s">
        <v>110</v>
      </c>
    </row>
    <row r="66" spans="1:9">
      <c r="A66" s="5">
        <f t="shared" si="0"/>
        <v>65</v>
      </c>
      <c r="B66" s="6">
        <v>1019539</v>
      </c>
      <c r="C66" s="7">
        <v>69114219</v>
      </c>
      <c r="D66" s="8" t="s">
        <v>128</v>
      </c>
      <c r="E66" s="8" t="s">
        <v>54</v>
      </c>
      <c r="F66" s="8" t="s">
        <v>110</v>
      </c>
      <c r="G66" s="8" t="s">
        <v>110</v>
      </c>
      <c r="H66" s="8" t="s">
        <v>110</v>
      </c>
      <c r="I66" s="8" t="s">
        <v>110</v>
      </c>
    </row>
    <row r="67" spans="1:9">
      <c r="A67" s="5">
        <f t="shared" si="0"/>
        <v>66</v>
      </c>
      <c r="B67" s="6">
        <v>1019569</v>
      </c>
      <c r="C67" s="7">
        <v>69113987</v>
      </c>
      <c r="D67" s="8" t="s">
        <v>129</v>
      </c>
      <c r="E67" s="8" t="s">
        <v>54</v>
      </c>
      <c r="F67" s="8" t="s">
        <v>110</v>
      </c>
      <c r="G67" s="8" t="s">
        <v>110</v>
      </c>
      <c r="H67" s="8" t="s">
        <v>110</v>
      </c>
      <c r="I67" s="8" t="s">
        <v>110</v>
      </c>
    </row>
    <row r="68" spans="1:9">
      <c r="A68" s="5">
        <f t="shared" si="0"/>
        <v>67</v>
      </c>
      <c r="B68" s="6">
        <v>1019578</v>
      </c>
      <c r="C68" s="7">
        <v>69115684</v>
      </c>
      <c r="D68" s="8" t="s">
        <v>130</v>
      </c>
      <c r="E68" s="8" t="s">
        <v>54</v>
      </c>
      <c r="F68" s="8" t="s">
        <v>110</v>
      </c>
      <c r="G68" s="8" t="s">
        <v>110</v>
      </c>
      <c r="H68" s="8" t="s">
        <v>110</v>
      </c>
      <c r="I68" s="8" t="s">
        <v>110</v>
      </c>
    </row>
    <row r="69" spans="1:9">
      <c r="A69" s="5">
        <f t="shared" ref="A69:A132" si="1">A68+1</f>
        <v>68</v>
      </c>
      <c r="B69" s="6">
        <v>1019172</v>
      </c>
      <c r="C69" s="7">
        <v>69106009</v>
      </c>
      <c r="D69" s="8" t="s">
        <v>131</v>
      </c>
      <c r="E69" s="8" t="s">
        <v>54</v>
      </c>
      <c r="F69" s="8" t="s">
        <v>110</v>
      </c>
      <c r="G69" s="8" t="s">
        <v>110</v>
      </c>
      <c r="H69" s="8" t="s">
        <v>110</v>
      </c>
      <c r="I69" s="8" t="s">
        <v>110</v>
      </c>
    </row>
    <row r="70" spans="1:9">
      <c r="A70" s="5">
        <f t="shared" si="1"/>
        <v>69</v>
      </c>
      <c r="B70" s="6">
        <v>1019357</v>
      </c>
      <c r="C70" s="7">
        <v>69107767</v>
      </c>
      <c r="D70" s="8" t="s">
        <v>132</v>
      </c>
      <c r="E70" s="8" t="s">
        <v>54</v>
      </c>
      <c r="F70" s="8" t="s">
        <v>110</v>
      </c>
      <c r="G70" s="8" t="s">
        <v>110</v>
      </c>
      <c r="H70" s="8" t="s">
        <v>110</v>
      </c>
      <c r="I70" s="8" t="s">
        <v>110</v>
      </c>
    </row>
    <row r="71" spans="1:9">
      <c r="A71" s="5">
        <f t="shared" si="1"/>
        <v>70</v>
      </c>
      <c r="B71" s="6">
        <v>1020165</v>
      </c>
      <c r="C71" s="7">
        <v>69135171</v>
      </c>
      <c r="D71" s="9" t="s">
        <v>133</v>
      </c>
      <c r="E71" s="8" t="s">
        <v>54</v>
      </c>
      <c r="F71" s="8" t="s">
        <v>110</v>
      </c>
      <c r="G71" s="8" t="s">
        <v>110</v>
      </c>
      <c r="H71" s="8" t="s">
        <v>110</v>
      </c>
      <c r="I71" s="8" t="s">
        <v>110</v>
      </c>
    </row>
    <row r="72" spans="1:9">
      <c r="A72" s="5">
        <f t="shared" si="1"/>
        <v>71</v>
      </c>
      <c r="B72" s="6">
        <v>1020381</v>
      </c>
      <c r="C72" s="7">
        <v>69140747</v>
      </c>
      <c r="D72" s="8" t="s">
        <v>134</v>
      </c>
      <c r="E72" s="8" t="s">
        <v>54</v>
      </c>
      <c r="F72" s="8" t="s">
        <v>110</v>
      </c>
      <c r="G72" s="8" t="s">
        <v>110</v>
      </c>
      <c r="H72" s="8" t="s">
        <v>110</v>
      </c>
      <c r="I72" s="8" t="s">
        <v>110</v>
      </c>
    </row>
    <row r="73" spans="1:9">
      <c r="A73" s="5">
        <f t="shared" si="1"/>
        <v>72</v>
      </c>
      <c r="B73" s="6">
        <v>1020498</v>
      </c>
      <c r="C73" s="7">
        <v>69142083</v>
      </c>
      <c r="D73" s="8" t="s">
        <v>135</v>
      </c>
      <c r="E73" s="8" t="s">
        <v>54</v>
      </c>
      <c r="F73" s="8" t="s">
        <v>110</v>
      </c>
      <c r="G73" s="8" t="s">
        <v>110</v>
      </c>
      <c r="H73" s="8" t="s">
        <v>110</v>
      </c>
      <c r="I73" s="8" t="s">
        <v>110</v>
      </c>
    </row>
    <row r="74" spans="1:9">
      <c r="A74" s="5">
        <f t="shared" si="1"/>
        <v>73</v>
      </c>
      <c r="B74" s="6">
        <v>1020548</v>
      </c>
      <c r="C74" s="7">
        <v>69143196</v>
      </c>
      <c r="D74" s="8" t="s">
        <v>136</v>
      </c>
      <c r="E74" s="8" t="s">
        <v>54</v>
      </c>
      <c r="F74" s="8" t="s">
        <v>110</v>
      </c>
      <c r="G74" s="8" t="s">
        <v>110</v>
      </c>
      <c r="H74" s="8" t="s">
        <v>110</v>
      </c>
      <c r="I74" s="8" t="s">
        <v>110</v>
      </c>
    </row>
    <row r="75" spans="1:9">
      <c r="A75" s="5">
        <f t="shared" si="1"/>
        <v>74</v>
      </c>
      <c r="B75" s="6">
        <v>1020589</v>
      </c>
      <c r="C75" s="7">
        <v>69106079</v>
      </c>
      <c r="D75" s="8" t="s">
        <v>137</v>
      </c>
      <c r="E75" s="8" t="s">
        <v>54</v>
      </c>
      <c r="F75" s="8" t="s">
        <v>110</v>
      </c>
      <c r="G75" s="8" t="s">
        <v>110</v>
      </c>
      <c r="H75" s="8" t="s">
        <v>110</v>
      </c>
      <c r="I75" s="8" t="s">
        <v>110</v>
      </c>
    </row>
    <row r="76" spans="1:9">
      <c r="A76" s="5">
        <f t="shared" si="1"/>
        <v>75</v>
      </c>
      <c r="B76" s="6">
        <v>1020921</v>
      </c>
      <c r="C76" s="7">
        <v>69148201</v>
      </c>
      <c r="D76" s="8" t="s">
        <v>138</v>
      </c>
      <c r="E76" s="8" t="s">
        <v>54</v>
      </c>
      <c r="F76" s="8" t="s">
        <v>110</v>
      </c>
      <c r="G76" s="8" t="s">
        <v>110</v>
      </c>
      <c r="H76" s="8" t="s">
        <v>110</v>
      </c>
      <c r="I76" s="8" t="s">
        <v>110</v>
      </c>
    </row>
    <row r="77" spans="1:9">
      <c r="A77" s="5">
        <f t="shared" si="1"/>
        <v>76</v>
      </c>
      <c r="B77" s="6">
        <v>1021218</v>
      </c>
      <c r="C77" s="7">
        <v>69151704</v>
      </c>
      <c r="D77" s="8" t="s">
        <v>139</v>
      </c>
      <c r="E77" s="8" t="s">
        <v>54</v>
      </c>
      <c r="F77" s="8" t="s">
        <v>110</v>
      </c>
      <c r="G77" s="8" t="s">
        <v>110</v>
      </c>
      <c r="H77" s="8" t="s">
        <v>110</v>
      </c>
      <c r="I77" s="8" t="s">
        <v>110</v>
      </c>
    </row>
    <row r="78" spans="1:9">
      <c r="A78" s="5">
        <f t="shared" si="1"/>
        <v>77</v>
      </c>
      <c r="B78" s="6">
        <v>1021595</v>
      </c>
      <c r="C78" s="7" t="e">
        <v>#N/A</v>
      </c>
      <c r="D78" s="8" t="s">
        <v>140</v>
      </c>
      <c r="E78" s="8" t="s">
        <v>54</v>
      </c>
      <c r="F78" s="8" t="s">
        <v>110</v>
      </c>
      <c r="G78" s="8" t="s">
        <v>110</v>
      </c>
      <c r="H78" s="8" t="s">
        <v>110</v>
      </c>
      <c r="I78" s="8" t="s">
        <v>110</v>
      </c>
    </row>
    <row r="79" spans="1:9">
      <c r="A79" s="5">
        <f t="shared" si="1"/>
        <v>78</v>
      </c>
      <c r="B79" s="6">
        <v>1021597</v>
      </c>
      <c r="C79" s="7" t="e">
        <v>#N/A</v>
      </c>
      <c r="D79" s="8" t="s">
        <v>141</v>
      </c>
      <c r="E79" s="8" t="s">
        <v>54</v>
      </c>
      <c r="F79" s="8" t="s">
        <v>110</v>
      </c>
      <c r="G79" s="8" t="s">
        <v>110</v>
      </c>
      <c r="H79" s="8" t="s">
        <v>110</v>
      </c>
      <c r="I79" s="8" t="s">
        <v>110</v>
      </c>
    </row>
    <row r="80" spans="1:9">
      <c r="A80" s="5">
        <f t="shared" si="1"/>
        <v>79</v>
      </c>
      <c r="B80" s="6">
        <v>1021617</v>
      </c>
      <c r="C80" s="7" t="e">
        <v>#N/A</v>
      </c>
      <c r="D80" s="8" t="s">
        <v>142</v>
      </c>
      <c r="E80" s="8" t="s">
        <v>54</v>
      </c>
      <c r="F80" s="8" t="s">
        <v>110</v>
      </c>
      <c r="G80" s="8" t="s">
        <v>110</v>
      </c>
      <c r="H80" s="8" t="s">
        <v>110</v>
      </c>
      <c r="I80" s="8" t="s">
        <v>110</v>
      </c>
    </row>
    <row r="81" spans="1:9">
      <c r="A81" s="5">
        <f t="shared" si="1"/>
        <v>80</v>
      </c>
      <c r="B81" s="6">
        <v>1021621</v>
      </c>
      <c r="C81" s="7" t="e">
        <v>#N/A</v>
      </c>
      <c r="D81" s="8" t="s">
        <v>143</v>
      </c>
      <c r="E81" s="8" t="s">
        <v>54</v>
      </c>
      <c r="F81" s="8" t="s">
        <v>110</v>
      </c>
      <c r="G81" s="8" t="s">
        <v>110</v>
      </c>
      <c r="H81" s="8" t="s">
        <v>110</v>
      </c>
      <c r="I81" s="8" t="s">
        <v>110</v>
      </c>
    </row>
    <row r="82" spans="1:9">
      <c r="A82" s="5">
        <f t="shared" si="1"/>
        <v>81</v>
      </c>
      <c r="B82" s="6">
        <v>1021670</v>
      </c>
      <c r="C82" s="7" t="e">
        <v>#N/A</v>
      </c>
      <c r="D82" s="8" t="s">
        <v>144</v>
      </c>
      <c r="E82" s="8" t="s">
        <v>54</v>
      </c>
      <c r="F82" s="8" t="s">
        <v>110</v>
      </c>
      <c r="G82" s="8" t="s">
        <v>110</v>
      </c>
      <c r="H82" s="8" t="s">
        <v>110</v>
      </c>
      <c r="I82" s="8" t="s">
        <v>110</v>
      </c>
    </row>
    <row r="83" spans="1:9">
      <c r="A83" s="5">
        <f t="shared" si="1"/>
        <v>82</v>
      </c>
      <c r="B83" s="6">
        <v>1021686</v>
      </c>
      <c r="C83" s="7" t="e">
        <v>#N/A</v>
      </c>
      <c r="D83" s="8" t="s">
        <v>145</v>
      </c>
      <c r="E83" s="8" t="s">
        <v>54</v>
      </c>
      <c r="F83" s="8" t="s">
        <v>110</v>
      </c>
      <c r="G83" s="8" t="s">
        <v>110</v>
      </c>
      <c r="H83" s="8" t="s">
        <v>110</v>
      </c>
      <c r="I83" s="8" t="s">
        <v>110</v>
      </c>
    </row>
    <row r="84" spans="1:9">
      <c r="A84" s="5">
        <f t="shared" si="1"/>
        <v>83</v>
      </c>
      <c r="B84" s="6">
        <v>1021055</v>
      </c>
      <c r="C84" s="7">
        <v>69073053</v>
      </c>
      <c r="D84" s="8" t="s">
        <v>146</v>
      </c>
      <c r="E84" s="8" t="s">
        <v>54</v>
      </c>
      <c r="F84" s="8" t="s">
        <v>147</v>
      </c>
      <c r="G84" s="8" t="s">
        <v>147</v>
      </c>
      <c r="H84" s="8" t="s">
        <v>148</v>
      </c>
      <c r="I84" s="8" t="s">
        <v>110</v>
      </c>
    </row>
    <row r="85" spans="1:9">
      <c r="A85" s="5">
        <f t="shared" si="1"/>
        <v>84</v>
      </c>
      <c r="B85" s="6">
        <v>1021064</v>
      </c>
      <c r="C85" s="7">
        <v>69149960</v>
      </c>
      <c r="D85" s="8" t="s">
        <v>149</v>
      </c>
      <c r="E85" s="8" t="s">
        <v>54</v>
      </c>
      <c r="F85" s="8" t="s">
        <v>147</v>
      </c>
      <c r="G85" s="8" t="s">
        <v>147</v>
      </c>
      <c r="H85" s="8" t="s">
        <v>148</v>
      </c>
      <c r="I85" s="8" t="s">
        <v>110</v>
      </c>
    </row>
    <row r="86" spans="1:9">
      <c r="A86" s="5">
        <f t="shared" si="1"/>
        <v>85</v>
      </c>
      <c r="B86" s="6">
        <v>1021080</v>
      </c>
      <c r="C86" s="7">
        <v>69150232</v>
      </c>
      <c r="D86" s="8" t="s">
        <v>150</v>
      </c>
      <c r="E86" s="8" t="s">
        <v>54</v>
      </c>
      <c r="F86" s="8" t="s">
        <v>147</v>
      </c>
      <c r="G86" s="8" t="s">
        <v>147</v>
      </c>
      <c r="H86" s="8" t="s">
        <v>148</v>
      </c>
      <c r="I86" s="8" t="s">
        <v>110</v>
      </c>
    </row>
    <row r="87" spans="1:9">
      <c r="A87" s="5">
        <f t="shared" si="1"/>
        <v>86</v>
      </c>
      <c r="B87" s="6">
        <v>1021103</v>
      </c>
      <c r="C87" s="7">
        <v>69101180</v>
      </c>
      <c r="D87" s="8" t="s">
        <v>151</v>
      </c>
      <c r="E87" s="8" t="s">
        <v>54</v>
      </c>
      <c r="F87" s="8" t="s">
        <v>147</v>
      </c>
      <c r="G87" s="8" t="s">
        <v>147</v>
      </c>
      <c r="H87" s="8" t="s">
        <v>148</v>
      </c>
      <c r="I87" s="8" t="s">
        <v>110</v>
      </c>
    </row>
    <row r="88" spans="1:9">
      <c r="A88" s="5">
        <f t="shared" si="1"/>
        <v>87</v>
      </c>
      <c r="B88" s="6">
        <v>1019610</v>
      </c>
      <c r="C88" s="7">
        <v>69143575</v>
      </c>
      <c r="D88" s="8" t="s">
        <v>152</v>
      </c>
      <c r="E88" s="8" t="s">
        <v>54</v>
      </c>
      <c r="F88" s="8" t="s">
        <v>147</v>
      </c>
      <c r="G88" s="8" t="s">
        <v>147</v>
      </c>
      <c r="H88" s="8" t="s">
        <v>148</v>
      </c>
      <c r="I88" s="8" t="s">
        <v>110</v>
      </c>
    </row>
    <row r="89" spans="1:9">
      <c r="A89" s="5">
        <f t="shared" si="1"/>
        <v>88</v>
      </c>
      <c r="B89" s="6">
        <v>1020944</v>
      </c>
      <c r="C89" s="7">
        <v>69149117</v>
      </c>
      <c r="D89" s="8" t="s">
        <v>153</v>
      </c>
      <c r="E89" s="8" t="s">
        <v>54</v>
      </c>
      <c r="F89" s="8" t="s">
        <v>147</v>
      </c>
      <c r="G89" s="8" t="s">
        <v>147</v>
      </c>
      <c r="H89" s="8" t="s">
        <v>148</v>
      </c>
      <c r="I89" s="8" t="s">
        <v>110</v>
      </c>
    </row>
    <row r="90" spans="1:9">
      <c r="A90" s="5">
        <f t="shared" si="1"/>
        <v>89</v>
      </c>
      <c r="B90" s="6">
        <v>1019321</v>
      </c>
      <c r="C90" s="7">
        <v>69110007</v>
      </c>
      <c r="D90" s="8" t="s">
        <v>154</v>
      </c>
      <c r="E90" s="8" t="s">
        <v>54</v>
      </c>
      <c r="F90" s="8" t="s">
        <v>70</v>
      </c>
      <c r="G90" s="8" t="s">
        <v>71</v>
      </c>
      <c r="H90" s="8" t="s">
        <v>148</v>
      </c>
      <c r="I90" s="8" t="s">
        <v>155</v>
      </c>
    </row>
    <row r="91" spans="1:9">
      <c r="A91" s="5">
        <f t="shared" si="1"/>
        <v>90</v>
      </c>
      <c r="B91" s="6">
        <v>1021364</v>
      </c>
      <c r="C91" s="7">
        <v>69153874</v>
      </c>
      <c r="D91" s="8" t="s">
        <v>156</v>
      </c>
      <c r="E91" s="8" t="s">
        <v>54</v>
      </c>
      <c r="F91" s="8" t="s">
        <v>147</v>
      </c>
      <c r="G91" s="8" t="s">
        <v>147</v>
      </c>
      <c r="H91" s="8" t="s">
        <v>148</v>
      </c>
      <c r="I91" s="8" t="s">
        <v>157</v>
      </c>
    </row>
    <row r="92" spans="1:9">
      <c r="A92" s="5">
        <f t="shared" si="1"/>
        <v>91</v>
      </c>
      <c r="B92" s="6">
        <v>1021394</v>
      </c>
      <c r="C92" s="7">
        <v>69154438</v>
      </c>
      <c r="D92" s="8" t="s">
        <v>158</v>
      </c>
      <c r="E92" s="8" t="s">
        <v>54</v>
      </c>
      <c r="F92" s="8" t="s">
        <v>147</v>
      </c>
      <c r="G92" s="8" t="s">
        <v>147</v>
      </c>
      <c r="H92" s="8" t="s">
        <v>148</v>
      </c>
      <c r="I92" s="8" t="s">
        <v>159</v>
      </c>
    </row>
    <row r="93" spans="1:9">
      <c r="A93" s="5">
        <f t="shared" si="1"/>
        <v>92</v>
      </c>
      <c r="B93" s="6">
        <v>1021303</v>
      </c>
      <c r="C93" s="7">
        <v>69153009</v>
      </c>
      <c r="D93" s="8" t="s">
        <v>160</v>
      </c>
      <c r="E93" s="8" t="s">
        <v>54</v>
      </c>
      <c r="F93" s="8" t="s">
        <v>147</v>
      </c>
      <c r="G93" s="8" t="s">
        <v>147</v>
      </c>
      <c r="H93" s="8" t="s">
        <v>148</v>
      </c>
      <c r="I93" s="8" t="s">
        <v>161</v>
      </c>
    </row>
    <row r="94" spans="1:9">
      <c r="A94" s="5">
        <f t="shared" si="1"/>
        <v>93</v>
      </c>
      <c r="B94" s="6">
        <v>1021351</v>
      </c>
      <c r="C94" s="7">
        <v>61466034</v>
      </c>
      <c r="D94" s="8" t="s">
        <v>162</v>
      </c>
      <c r="E94" s="8" t="s">
        <v>54</v>
      </c>
      <c r="F94" s="8" t="s">
        <v>147</v>
      </c>
      <c r="G94" s="8" t="s">
        <v>147</v>
      </c>
      <c r="H94" s="8" t="s">
        <v>148</v>
      </c>
      <c r="I94" s="8" t="s">
        <v>163</v>
      </c>
    </row>
    <row r="95" spans="1:9">
      <c r="A95" s="5">
        <f t="shared" si="1"/>
        <v>94</v>
      </c>
      <c r="B95" s="6">
        <v>1021350</v>
      </c>
      <c r="C95" s="7">
        <v>69082462</v>
      </c>
      <c r="D95" s="8" t="s">
        <v>164</v>
      </c>
      <c r="E95" s="8" t="s">
        <v>54</v>
      </c>
      <c r="F95" s="8" t="s">
        <v>147</v>
      </c>
      <c r="G95" s="8" t="s">
        <v>147</v>
      </c>
      <c r="H95" s="8" t="s">
        <v>148</v>
      </c>
      <c r="I95" s="8" t="s">
        <v>163</v>
      </c>
    </row>
    <row r="96" spans="1:9">
      <c r="A96" s="5">
        <f t="shared" si="1"/>
        <v>95</v>
      </c>
      <c r="B96" s="6">
        <v>1021486</v>
      </c>
      <c r="C96" s="7">
        <v>69154953</v>
      </c>
      <c r="D96" s="8" t="s">
        <v>165</v>
      </c>
      <c r="E96" s="8" t="s">
        <v>54</v>
      </c>
      <c r="F96" s="8" t="s">
        <v>147</v>
      </c>
      <c r="G96" s="8" t="s">
        <v>147</v>
      </c>
      <c r="H96" s="8" t="s">
        <v>148</v>
      </c>
      <c r="I96" s="8" t="s">
        <v>163</v>
      </c>
    </row>
    <row r="97" spans="1:9">
      <c r="A97" s="5">
        <f t="shared" si="1"/>
        <v>96</v>
      </c>
      <c r="B97" s="6">
        <v>1021263</v>
      </c>
      <c r="C97" s="7">
        <v>69152427</v>
      </c>
      <c r="D97" s="8" t="s">
        <v>166</v>
      </c>
      <c r="E97" s="8" t="s">
        <v>54</v>
      </c>
      <c r="F97" s="8" t="s">
        <v>147</v>
      </c>
      <c r="G97" s="8" t="s">
        <v>147</v>
      </c>
      <c r="H97" s="8" t="s">
        <v>148</v>
      </c>
      <c r="I97" s="8" t="s">
        <v>90</v>
      </c>
    </row>
    <row r="98" spans="1:9">
      <c r="A98" s="5">
        <f t="shared" si="1"/>
        <v>97</v>
      </c>
      <c r="B98" s="6">
        <v>1019013</v>
      </c>
      <c r="C98" s="7">
        <v>69105893</v>
      </c>
      <c r="D98" s="8" t="s">
        <v>167</v>
      </c>
      <c r="E98" s="8" t="s">
        <v>54</v>
      </c>
      <c r="F98" s="8" t="s">
        <v>147</v>
      </c>
      <c r="G98" s="8" t="s">
        <v>147</v>
      </c>
      <c r="H98" s="8" t="s">
        <v>148</v>
      </c>
      <c r="I98" s="8" t="s">
        <v>90</v>
      </c>
    </row>
    <row r="99" spans="1:9">
      <c r="A99" s="5">
        <f t="shared" si="1"/>
        <v>98</v>
      </c>
      <c r="B99" s="6">
        <v>1020542</v>
      </c>
      <c r="C99" s="7">
        <v>69143018</v>
      </c>
      <c r="D99" s="8" t="s">
        <v>168</v>
      </c>
      <c r="E99" s="8" t="s">
        <v>54</v>
      </c>
      <c r="F99" s="8" t="s">
        <v>147</v>
      </c>
      <c r="G99" s="8" t="s">
        <v>147</v>
      </c>
      <c r="H99" s="8" t="s">
        <v>148</v>
      </c>
      <c r="I99" s="8" t="s">
        <v>90</v>
      </c>
    </row>
    <row r="100" spans="1:9">
      <c r="A100" s="5">
        <f t="shared" si="1"/>
        <v>99</v>
      </c>
      <c r="B100" s="6">
        <v>1019510</v>
      </c>
      <c r="C100" s="7">
        <v>69136033</v>
      </c>
      <c r="D100" s="8" t="s">
        <v>169</v>
      </c>
      <c r="E100" s="8" t="s">
        <v>54</v>
      </c>
      <c r="F100" s="8" t="s">
        <v>147</v>
      </c>
      <c r="G100" s="8" t="s">
        <v>147</v>
      </c>
      <c r="H100" s="8" t="s">
        <v>148</v>
      </c>
      <c r="I100" s="8" t="s">
        <v>90</v>
      </c>
    </row>
    <row r="101" spans="1:9">
      <c r="A101" s="5">
        <f t="shared" si="1"/>
        <v>100</v>
      </c>
      <c r="B101" s="6">
        <v>1021244</v>
      </c>
      <c r="C101" s="7">
        <v>69072867</v>
      </c>
      <c r="D101" s="8" t="s">
        <v>170</v>
      </c>
      <c r="E101" s="8" t="s">
        <v>54</v>
      </c>
      <c r="F101" s="8" t="s">
        <v>147</v>
      </c>
      <c r="G101" s="8" t="s">
        <v>147</v>
      </c>
      <c r="H101" s="8" t="s">
        <v>171</v>
      </c>
      <c r="I101" s="8" t="s">
        <v>110</v>
      </c>
    </row>
    <row r="102" spans="1:9">
      <c r="A102" s="5">
        <f t="shared" si="1"/>
        <v>101</v>
      </c>
      <c r="B102" s="6">
        <v>1020949</v>
      </c>
      <c r="C102" s="7">
        <v>69148476</v>
      </c>
      <c r="D102" s="8" t="s">
        <v>172</v>
      </c>
      <c r="E102" s="8" t="s">
        <v>54</v>
      </c>
      <c r="F102" s="8" t="s">
        <v>147</v>
      </c>
      <c r="G102" s="8" t="s">
        <v>147</v>
      </c>
      <c r="H102" s="8" t="s">
        <v>148</v>
      </c>
      <c r="I102" s="8" t="s">
        <v>90</v>
      </c>
    </row>
    <row r="103" spans="1:9">
      <c r="A103" s="5">
        <f t="shared" si="1"/>
        <v>102</v>
      </c>
      <c r="B103" s="6">
        <v>1021259</v>
      </c>
      <c r="C103" s="7">
        <v>69152422</v>
      </c>
      <c r="D103" s="8" t="s">
        <v>173</v>
      </c>
      <c r="E103" s="8" t="s">
        <v>54</v>
      </c>
      <c r="F103" s="8" t="s">
        <v>147</v>
      </c>
      <c r="G103" s="8" t="s">
        <v>147</v>
      </c>
      <c r="H103" s="8" t="s">
        <v>148</v>
      </c>
      <c r="I103" s="8" t="s">
        <v>90</v>
      </c>
    </row>
    <row r="104" spans="1:9">
      <c r="A104" s="5">
        <f t="shared" si="1"/>
        <v>103</v>
      </c>
      <c r="B104" s="6">
        <v>1021331</v>
      </c>
      <c r="C104" s="7">
        <v>69072868</v>
      </c>
      <c r="D104" s="8" t="s">
        <v>174</v>
      </c>
      <c r="E104" s="8" t="s">
        <v>54</v>
      </c>
      <c r="F104" s="8" t="s">
        <v>147</v>
      </c>
      <c r="G104" s="8" t="s">
        <v>147</v>
      </c>
      <c r="H104" s="8" t="s">
        <v>171</v>
      </c>
      <c r="I104" s="8" t="s">
        <v>110</v>
      </c>
    </row>
    <row r="105" spans="1:9">
      <c r="A105" s="5">
        <f t="shared" si="1"/>
        <v>104</v>
      </c>
      <c r="B105" s="6">
        <v>1021424</v>
      </c>
      <c r="C105" s="7">
        <v>69154424</v>
      </c>
      <c r="D105" s="8" t="s">
        <v>175</v>
      </c>
      <c r="E105" s="8" t="s">
        <v>54</v>
      </c>
      <c r="F105" s="8" t="s">
        <v>147</v>
      </c>
      <c r="G105" s="8" t="s">
        <v>147</v>
      </c>
      <c r="H105" s="8" t="s">
        <v>148</v>
      </c>
      <c r="I105" s="8" t="s">
        <v>90</v>
      </c>
    </row>
    <row r="106" spans="1:9">
      <c r="A106" s="5">
        <f t="shared" si="1"/>
        <v>105</v>
      </c>
      <c r="B106" s="6">
        <v>1021285</v>
      </c>
      <c r="C106" s="7">
        <v>69152659</v>
      </c>
      <c r="D106" s="8" t="s">
        <v>176</v>
      </c>
      <c r="E106" s="8" t="s">
        <v>54</v>
      </c>
      <c r="F106" s="8" t="s">
        <v>147</v>
      </c>
      <c r="G106" s="8" t="s">
        <v>147</v>
      </c>
      <c r="H106" s="8" t="s">
        <v>148</v>
      </c>
      <c r="I106" s="8" t="s">
        <v>90</v>
      </c>
    </row>
    <row r="107" spans="1:9">
      <c r="A107" s="5">
        <f t="shared" si="1"/>
        <v>106</v>
      </c>
      <c r="B107" s="6">
        <v>1021362</v>
      </c>
      <c r="C107" s="7">
        <v>69075243</v>
      </c>
      <c r="D107" s="8" t="s">
        <v>177</v>
      </c>
      <c r="E107" s="8" t="s">
        <v>54</v>
      </c>
      <c r="F107" s="8" t="s">
        <v>147</v>
      </c>
      <c r="G107" s="8" t="s">
        <v>147</v>
      </c>
      <c r="H107" s="8" t="s">
        <v>178</v>
      </c>
      <c r="I107" s="8" t="s">
        <v>110</v>
      </c>
    </row>
    <row r="108" spans="1:9">
      <c r="A108" s="5">
        <f t="shared" si="1"/>
        <v>107</v>
      </c>
      <c r="B108" s="6">
        <v>1020895</v>
      </c>
      <c r="C108" s="7">
        <v>69022564</v>
      </c>
      <c r="D108" s="8" t="s">
        <v>179</v>
      </c>
      <c r="E108" s="8" t="s">
        <v>54</v>
      </c>
      <c r="F108" s="8" t="s">
        <v>147</v>
      </c>
      <c r="G108" s="8" t="s">
        <v>147</v>
      </c>
      <c r="H108" s="8" t="s">
        <v>148</v>
      </c>
      <c r="I108" s="8" t="s">
        <v>180</v>
      </c>
    </row>
    <row r="109" spans="1:9">
      <c r="A109" s="5">
        <f t="shared" si="1"/>
        <v>108</v>
      </c>
      <c r="B109" s="6">
        <v>1020887</v>
      </c>
      <c r="C109" s="7">
        <v>69022565</v>
      </c>
      <c r="D109" s="8" t="s">
        <v>181</v>
      </c>
      <c r="E109" s="8" t="s">
        <v>54</v>
      </c>
      <c r="F109" s="8" t="s">
        <v>147</v>
      </c>
      <c r="G109" s="8" t="s">
        <v>147</v>
      </c>
      <c r="H109" s="8" t="s">
        <v>148</v>
      </c>
      <c r="I109" s="8" t="s">
        <v>180</v>
      </c>
    </row>
    <row r="110" spans="1:9">
      <c r="A110" s="5">
        <f t="shared" si="1"/>
        <v>109</v>
      </c>
      <c r="B110" s="6">
        <v>1020404</v>
      </c>
      <c r="C110" s="7">
        <v>69148822</v>
      </c>
      <c r="D110" s="8" t="s">
        <v>182</v>
      </c>
      <c r="E110" s="8" t="s">
        <v>54</v>
      </c>
      <c r="F110" s="8" t="s">
        <v>147</v>
      </c>
      <c r="G110" s="8" t="s">
        <v>147</v>
      </c>
      <c r="H110" s="8" t="s">
        <v>148</v>
      </c>
      <c r="I110" s="8" t="s">
        <v>163</v>
      </c>
    </row>
    <row r="111" spans="1:9">
      <c r="A111" s="5">
        <f t="shared" si="1"/>
        <v>110</v>
      </c>
      <c r="B111" s="6">
        <v>1021165</v>
      </c>
      <c r="C111" s="7">
        <v>69150833</v>
      </c>
      <c r="D111" s="8" t="s">
        <v>183</v>
      </c>
      <c r="E111" s="8" t="s">
        <v>54</v>
      </c>
      <c r="F111" s="8" t="s">
        <v>147</v>
      </c>
      <c r="G111" s="8" t="s">
        <v>147</v>
      </c>
      <c r="H111" s="8" t="s">
        <v>148</v>
      </c>
      <c r="I111" s="8" t="s">
        <v>155</v>
      </c>
    </row>
    <row r="112" spans="1:9">
      <c r="A112" s="5">
        <f t="shared" si="1"/>
        <v>111</v>
      </c>
      <c r="B112" s="6">
        <v>1021265</v>
      </c>
      <c r="C112" s="7">
        <v>69152200</v>
      </c>
      <c r="D112" s="8" t="s">
        <v>184</v>
      </c>
      <c r="E112" s="8" t="s">
        <v>54</v>
      </c>
      <c r="F112" s="8" t="s">
        <v>147</v>
      </c>
      <c r="G112" s="8" t="s">
        <v>147</v>
      </c>
      <c r="H112" s="8" t="s">
        <v>148</v>
      </c>
      <c r="I112" s="8" t="s">
        <v>155</v>
      </c>
    </row>
    <row r="113" spans="1:9">
      <c r="A113" s="5">
        <f t="shared" si="1"/>
        <v>112</v>
      </c>
      <c r="B113" s="6">
        <v>1019623</v>
      </c>
      <c r="C113" s="7">
        <v>69151057</v>
      </c>
      <c r="D113" s="8" t="s">
        <v>185</v>
      </c>
      <c r="E113" s="8" t="s">
        <v>54</v>
      </c>
      <c r="F113" s="8" t="s">
        <v>147</v>
      </c>
      <c r="G113" s="8" t="s">
        <v>147</v>
      </c>
      <c r="H113" s="8" t="s">
        <v>148</v>
      </c>
      <c r="I113" s="8" t="s">
        <v>186</v>
      </c>
    </row>
    <row r="114" spans="1:9">
      <c r="A114" s="5">
        <f t="shared" si="1"/>
        <v>113</v>
      </c>
      <c r="B114" s="6">
        <v>1021361</v>
      </c>
      <c r="C114" s="7">
        <v>69153828</v>
      </c>
      <c r="D114" s="8" t="s">
        <v>187</v>
      </c>
      <c r="E114" s="8" t="s">
        <v>54</v>
      </c>
      <c r="F114" s="8" t="s">
        <v>147</v>
      </c>
      <c r="G114" s="8" t="s">
        <v>147</v>
      </c>
      <c r="H114" s="8" t="s">
        <v>148</v>
      </c>
      <c r="I114" s="8" t="s">
        <v>186</v>
      </c>
    </row>
    <row r="115" spans="1:9">
      <c r="A115" s="5">
        <f t="shared" si="1"/>
        <v>114</v>
      </c>
      <c r="B115" s="6">
        <v>1020992</v>
      </c>
      <c r="C115" s="7">
        <v>69149062</v>
      </c>
      <c r="D115" s="8" t="s">
        <v>188</v>
      </c>
      <c r="E115" s="8" t="s">
        <v>54</v>
      </c>
      <c r="F115" s="8" t="s">
        <v>147</v>
      </c>
      <c r="G115" s="8" t="s">
        <v>147</v>
      </c>
      <c r="H115" s="8" t="s">
        <v>148</v>
      </c>
      <c r="I115" s="8" t="s">
        <v>189</v>
      </c>
    </row>
    <row r="116" spans="1:9">
      <c r="A116" s="5">
        <f t="shared" si="1"/>
        <v>115</v>
      </c>
      <c r="B116" s="6">
        <v>1020983</v>
      </c>
      <c r="C116" s="7">
        <v>69149009</v>
      </c>
      <c r="D116" s="8" t="s">
        <v>190</v>
      </c>
      <c r="E116" s="8" t="s">
        <v>54</v>
      </c>
      <c r="F116" s="8" t="s">
        <v>147</v>
      </c>
      <c r="G116" s="8" t="s">
        <v>147</v>
      </c>
      <c r="H116" s="8" t="s">
        <v>148</v>
      </c>
      <c r="I116" s="8" t="s">
        <v>159</v>
      </c>
    </row>
    <row r="117" spans="1:9">
      <c r="A117" s="5">
        <f t="shared" si="1"/>
        <v>116</v>
      </c>
      <c r="B117" s="6">
        <v>1020725</v>
      </c>
      <c r="C117" s="7">
        <v>69146075</v>
      </c>
      <c r="D117" s="5" t="s">
        <v>191</v>
      </c>
      <c r="E117" s="8" t="s">
        <v>54</v>
      </c>
      <c r="F117" s="8" t="s">
        <v>147</v>
      </c>
      <c r="G117" s="8" t="s">
        <v>147</v>
      </c>
      <c r="H117" s="8" t="s">
        <v>148</v>
      </c>
      <c r="I117" s="8" t="s">
        <v>186</v>
      </c>
    </row>
    <row r="118" spans="1:9">
      <c r="A118" s="5">
        <f t="shared" si="1"/>
        <v>117</v>
      </c>
      <c r="B118" s="6">
        <v>1020986</v>
      </c>
      <c r="C118" s="7">
        <v>69147476</v>
      </c>
      <c r="D118" s="8" t="s">
        <v>192</v>
      </c>
      <c r="E118" s="8" t="s">
        <v>54</v>
      </c>
      <c r="F118" s="8" t="s">
        <v>147</v>
      </c>
      <c r="G118" s="8" t="s">
        <v>147</v>
      </c>
      <c r="H118" s="8" t="s">
        <v>148</v>
      </c>
      <c r="I118" s="8" t="s">
        <v>186</v>
      </c>
    </row>
    <row r="119" spans="1:9">
      <c r="A119" s="5">
        <f t="shared" si="1"/>
        <v>118</v>
      </c>
      <c r="B119" s="6">
        <v>1021234</v>
      </c>
      <c r="C119" s="7">
        <v>69151788</v>
      </c>
      <c r="D119" s="8" t="s">
        <v>193</v>
      </c>
      <c r="E119" s="8" t="s">
        <v>54</v>
      </c>
      <c r="F119" s="8" t="s">
        <v>147</v>
      </c>
      <c r="G119" s="8" t="s">
        <v>147</v>
      </c>
      <c r="H119" s="8" t="s">
        <v>148</v>
      </c>
      <c r="I119" s="8" t="s">
        <v>186</v>
      </c>
    </row>
    <row r="120" spans="1:9">
      <c r="A120" s="5">
        <f t="shared" si="1"/>
        <v>119</v>
      </c>
      <c r="B120" s="6">
        <v>1019620</v>
      </c>
      <c r="C120" s="7">
        <v>69123546</v>
      </c>
      <c r="D120" s="8" t="s">
        <v>194</v>
      </c>
      <c r="E120" s="8" t="s">
        <v>54</v>
      </c>
      <c r="F120" s="8" t="s">
        <v>147</v>
      </c>
      <c r="G120" s="8" t="s">
        <v>147</v>
      </c>
      <c r="H120" s="8" t="s">
        <v>148</v>
      </c>
      <c r="I120" s="8" t="s">
        <v>189</v>
      </c>
    </row>
    <row r="121" spans="1:9">
      <c r="A121" s="5">
        <f t="shared" si="1"/>
        <v>120</v>
      </c>
      <c r="B121" s="6">
        <v>1019793</v>
      </c>
      <c r="C121" s="7">
        <v>69125570</v>
      </c>
      <c r="D121" s="8" t="s">
        <v>195</v>
      </c>
      <c r="E121" s="8" t="s">
        <v>54</v>
      </c>
      <c r="F121" s="8" t="s">
        <v>147</v>
      </c>
      <c r="G121" s="8" t="s">
        <v>147</v>
      </c>
      <c r="H121" s="8" t="s">
        <v>148</v>
      </c>
      <c r="I121" s="8" t="s">
        <v>189</v>
      </c>
    </row>
    <row r="122" spans="1:9">
      <c r="A122" s="5">
        <f t="shared" si="1"/>
        <v>121</v>
      </c>
      <c r="B122" s="6">
        <v>1021052</v>
      </c>
      <c r="C122" s="7">
        <v>69149074</v>
      </c>
      <c r="D122" s="8" t="s">
        <v>196</v>
      </c>
      <c r="E122" s="8" t="s">
        <v>54</v>
      </c>
      <c r="F122" s="8" t="s">
        <v>147</v>
      </c>
      <c r="G122" s="8" t="s">
        <v>147</v>
      </c>
      <c r="H122" s="8" t="s">
        <v>148</v>
      </c>
      <c r="I122" s="8" t="s">
        <v>161</v>
      </c>
    </row>
    <row r="123" spans="1:9">
      <c r="A123" s="5">
        <f t="shared" si="1"/>
        <v>122</v>
      </c>
      <c r="B123" s="6">
        <v>1021082</v>
      </c>
      <c r="C123" s="7">
        <v>69150166</v>
      </c>
      <c r="D123" s="8" t="s">
        <v>197</v>
      </c>
      <c r="E123" s="8" t="s">
        <v>54</v>
      </c>
      <c r="F123" s="8" t="s">
        <v>147</v>
      </c>
      <c r="G123" s="8" t="s">
        <v>147</v>
      </c>
      <c r="H123" s="8" t="s">
        <v>148</v>
      </c>
      <c r="I123" s="8" t="s">
        <v>161</v>
      </c>
    </row>
    <row r="124" spans="1:9">
      <c r="A124" s="5">
        <f t="shared" si="1"/>
        <v>123</v>
      </c>
      <c r="B124" s="6">
        <v>1021081</v>
      </c>
      <c r="C124" s="7">
        <v>69150170</v>
      </c>
      <c r="D124" s="8" t="s">
        <v>198</v>
      </c>
      <c r="E124" s="8" t="s">
        <v>54</v>
      </c>
      <c r="F124" s="8" t="s">
        <v>147</v>
      </c>
      <c r="G124" s="8" t="s">
        <v>147</v>
      </c>
      <c r="H124" s="8" t="s">
        <v>148</v>
      </c>
      <c r="I124" s="8" t="s">
        <v>161</v>
      </c>
    </row>
    <row r="125" spans="1:9">
      <c r="A125" s="5">
        <f t="shared" si="1"/>
        <v>124</v>
      </c>
      <c r="B125" s="6">
        <v>1017667</v>
      </c>
      <c r="C125" s="7">
        <v>69064396</v>
      </c>
      <c r="D125" s="8" t="s">
        <v>199</v>
      </c>
      <c r="E125" s="8" t="s">
        <v>54</v>
      </c>
      <c r="F125" s="8" t="s">
        <v>147</v>
      </c>
      <c r="G125" s="8" t="s">
        <v>147</v>
      </c>
      <c r="H125" s="8" t="s">
        <v>148</v>
      </c>
      <c r="I125" s="8" t="s">
        <v>189</v>
      </c>
    </row>
    <row r="126" spans="1:9">
      <c r="A126" s="5">
        <f t="shared" si="1"/>
        <v>125</v>
      </c>
      <c r="B126" s="6">
        <v>1018562</v>
      </c>
      <c r="C126" s="7">
        <v>69092313</v>
      </c>
      <c r="D126" s="8" t="s">
        <v>200</v>
      </c>
      <c r="E126" s="8" t="s">
        <v>54</v>
      </c>
      <c r="F126" s="8" t="s">
        <v>147</v>
      </c>
      <c r="G126" s="8" t="s">
        <v>147</v>
      </c>
      <c r="H126" s="8" t="s">
        <v>148</v>
      </c>
      <c r="I126" s="8" t="s">
        <v>189</v>
      </c>
    </row>
    <row r="127" spans="1:9">
      <c r="A127" s="5">
        <f t="shared" si="1"/>
        <v>126</v>
      </c>
      <c r="B127" s="6">
        <v>1018749</v>
      </c>
      <c r="C127" s="7">
        <v>69096608</v>
      </c>
      <c r="D127" s="8" t="s">
        <v>201</v>
      </c>
      <c r="E127" s="8" t="s">
        <v>54</v>
      </c>
      <c r="F127" s="8" t="s">
        <v>147</v>
      </c>
      <c r="G127" s="8" t="s">
        <v>147</v>
      </c>
      <c r="H127" s="8" t="s">
        <v>148</v>
      </c>
      <c r="I127" s="8" t="s">
        <v>189</v>
      </c>
    </row>
    <row r="128" spans="1:9">
      <c r="A128" s="5">
        <f t="shared" si="1"/>
        <v>127</v>
      </c>
      <c r="B128" s="6">
        <v>1020654</v>
      </c>
      <c r="C128" s="7">
        <v>69145186</v>
      </c>
      <c r="D128" s="5" t="s">
        <v>202</v>
      </c>
      <c r="E128" s="8" t="s">
        <v>54</v>
      </c>
      <c r="F128" s="8" t="s">
        <v>147</v>
      </c>
      <c r="G128" s="8" t="s">
        <v>147</v>
      </c>
      <c r="H128" s="8" t="s">
        <v>148</v>
      </c>
      <c r="I128" s="8" t="s">
        <v>203</v>
      </c>
    </row>
    <row r="129" spans="1:9">
      <c r="A129" s="5">
        <f t="shared" si="1"/>
        <v>128</v>
      </c>
      <c r="B129" s="6">
        <v>1020694</v>
      </c>
      <c r="C129" s="7">
        <v>61377589</v>
      </c>
      <c r="D129" s="5" t="s">
        <v>204</v>
      </c>
      <c r="E129" s="8" t="s">
        <v>54</v>
      </c>
      <c r="F129" s="8" t="s">
        <v>147</v>
      </c>
      <c r="G129" s="8" t="s">
        <v>147</v>
      </c>
      <c r="H129" s="8" t="s">
        <v>148</v>
      </c>
      <c r="I129" s="8" t="s">
        <v>203</v>
      </c>
    </row>
    <row r="130" spans="1:9">
      <c r="A130" s="5">
        <f t="shared" si="1"/>
        <v>129</v>
      </c>
      <c r="B130" s="6">
        <v>1020688</v>
      </c>
      <c r="C130" s="7">
        <v>69145386</v>
      </c>
      <c r="D130" s="5" t="s">
        <v>205</v>
      </c>
      <c r="E130" s="8" t="s">
        <v>54</v>
      </c>
      <c r="F130" s="8" t="s">
        <v>147</v>
      </c>
      <c r="G130" s="8" t="s">
        <v>147</v>
      </c>
      <c r="H130" s="8" t="s">
        <v>148</v>
      </c>
      <c r="I130" s="8" t="s">
        <v>203</v>
      </c>
    </row>
    <row r="131" spans="1:9">
      <c r="A131" s="5">
        <f t="shared" si="1"/>
        <v>130</v>
      </c>
      <c r="B131" s="6">
        <v>1021513</v>
      </c>
      <c r="C131" s="7">
        <v>0</v>
      </c>
      <c r="D131" s="5" t="s">
        <v>206</v>
      </c>
      <c r="E131" s="8" t="s">
        <v>54</v>
      </c>
      <c r="F131" s="8" t="s">
        <v>147</v>
      </c>
      <c r="G131" s="8" t="s">
        <v>147</v>
      </c>
      <c r="H131" s="8" t="s">
        <v>207</v>
      </c>
      <c r="I131" s="8" t="s">
        <v>70</v>
      </c>
    </row>
    <row r="132" spans="1:9">
      <c r="A132" s="5">
        <f t="shared" si="1"/>
        <v>131</v>
      </c>
      <c r="B132" s="6">
        <v>1021521</v>
      </c>
      <c r="C132" s="7" t="e">
        <v>#N/A</v>
      </c>
      <c r="D132" s="5" t="s">
        <v>208</v>
      </c>
      <c r="E132" s="8" t="s">
        <v>54</v>
      </c>
      <c r="F132" s="8" t="s">
        <v>147</v>
      </c>
      <c r="G132" s="8" t="s">
        <v>147</v>
      </c>
      <c r="H132" s="8" t="s">
        <v>148</v>
      </c>
      <c r="I132" s="8" t="s">
        <v>90</v>
      </c>
    </row>
    <row r="133" spans="1:9">
      <c r="A133" s="5">
        <f t="shared" ref="A133:A196" si="2">A132+1</f>
        <v>132</v>
      </c>
      <c r="B133" s="6">
        <v>1021527</v>
      </c>
      <c r="C133" s="7" t="e">
        <v>#N/A</v>
      </c>
      <c r="D133" s="5" t="s">
        <v>209</v>
      </c>
      <c r="E133" s="8" t="s">
        <v>54</v>
      </c>
      <c r="F133" s="8" t="s">
        <v>70</v>
      </c>
      <c r="G133" s="8" t="s">
        <v>71</v>
      </c>
      <c r="H133" s="8" t="s">
        <v>210</v>
      </c>
      <c r="I133" s="8" t="s">
        <v>163</v>
      </c>
    </row>
    <row r="134" spans="1:9">
      <c r="A134" s="5">
        <f t="shared" si="2"/>
        <v>133</v>
      </c>
      <c r="B134" s="6">
        <v>1021627</v>
      </c>
      <c r="C134" s="7" t="e">
        <v>#N/A</v>
      </c>
      <c r="D134" s="5" t="s">
        <v>211</v>
      </c>
      <c r="E134" s="8" t="s">
        <v>54</v>
      </c>
      <c r="F134" s="8" t="s">
        <v>147</v>
      </c>
      <c r="G134" s="8" t="s">
        <v>147</v>
      </c>
      <c r="H134" s="8" t="s">
        <v>210</v>
      </c>
      <c r="I134" s="8" t="s">
        <v>163</v>
      </c>
    </row>
    <row r="135" spans="1:9">
      <c r="A135" s="5">
        <f t="shared" si="2"/>
        <v>134</v>
      </c>
      <c r="B135" s="6">
        <v>1021701</v>
      </c>
      <c r="C135" s="7" t="e">
        <v>#N/A</v>
      </c>
      <c r="D135" s="5" t="s">
        <v>212</v>
      </c>
      <c r="E135" s="8" t="s">
        <v>54</v>
      </c>
      <c r="F135" s="8" t="s">
        <v>147</v>
      </c>
      <c r="G135" s="8" t="s">
        <v>147</v>
      </c>
      <c r="H135" s="8" t="s">
        <v>161</v>
      </c>
      <c r="I135" s="8" t="s">
        <v>161</v>
      </c>
    </row>
    <row r="136" spans="1:9">
      <c r="A136" s="5">
        <f t="shared" si="2"/>
        <v>135</v>
      </c>
      <c r="B136" s="6">
        <v>1021704</v>
      </c>
      <c r="C136" s="7" t="e">
        <v>#N/A</v>
      </c>
      <c r="D136" s="5" t="s">
        <v>213</v>
      </c>
      <c r="E136" s="8" t="s">
        <v>54</v>
      </c>
      <c r="F136" s="8" t="s">
        <v>110</v>
      </c>
      <c r="G136" s="8" t="s">
        <v>110</v>
      </c>
      <c r="H136" s="8" t="s">
        <v>110</v>
      </c>
      <c r="I136" s="8" t="s">
        <v>110</v>
      </c>
    </row>
    <row r="137" spans="1:9">
      <c r="A137" s="5">
        <f t="shared" si="2"/>
        <v>136</v>
      </c>
      <c r="B137" s="6">
        <v>1020698</v>
      </c>
      <c r="C137" s="7">
        <v>69145855</v>
      </c>
      <c r="D137" s="10" t="s">
        <v>214</v>
      </c>
      <c r="E137" s="8" t="s">
        <v>54</v>
      </c>
      <c r="F137" s="8" t="s">
        <v>215</v>
      </c>
      <c r="G137" s="8" t="s">
        <v>215</v>
      </c>
      <c r="H137" s="8" t="s">
        <v>216</v>
      </c>
      <c r="I137" s="8" t="s">
        <v>216</v>
      </c>
    </row>
    <row r="138" spans="1:9">
      <c r="A138" s="5">
        <f t="shared" si="2"/>
        <v>137</v>
      </c>
      <c r="B138" s="6">
        <v>1020452</v>
      </c>
      <c r="C138" s="7">
        <v>69141982</v>
      </c>
      <c r="D138" s="8" t="s">
        <v>217</v>
      </c>
      <c r="E138" s="8" t="s">
        <v>54</v>
      </c>
      <c r="F138" s="8" t="s">
        <v>215</v>
      </c>
      <c r="G138" s="8" t="s">
        <v>215</v>
      </c>
      <c r="H138" s="8" t="s">
        <v>216</v>
      </c>
      <c r="I138" s="8" t="s">
        <v>216</v>
      </c>
    </row>
    <row r="139" spans="1:9">
      <c r="A139" s="5">
        <f t="shared" si="2"/>
        <v>138</v>
      </c>
      <c r="B139" s="6">
        <v>1020500</v>
      </c>
      <c r="C139" s="7">
        <v>69142026</v>
      </c>
      <c r="D139" s="8" t="s">
        <v>218</v>
      </c>
      <c r="E139" s="8" t="s">
        <v>54</v>
      </c>
      <c r="F139" s="8" t="s">
        <v>215</v>
      </c>
      <c r="G139" s="8" t="s">
        <v>215</v>
      </c>
      <c r="H139" s="8" t="s">
        <v>216</v>
      </c>
      <c r="I139" s="8" t="s">
        <v>216</v>
      </c>
    </row>
    <row r="140" spans="1:9">
      <c r="A140" s="5">
        <f t="shared" si="2"/>
        <v>139</v>
      </c>
      <c r="B140" s="6">
        <v>1021256</v>
      </c>
      <c r="C140" s="7">
        <v>69137947</v>
      </c>
      <c r="D140" s="8" t="s">
        <v>219</v>
      </c>
      <c r="E140" s="8" t="s">
        <v>54</v>
      </c>
      <c r="F140" s="8" t="s">
        <v>215</v>
      </c>
      <c r="G140" s="8" t="s">
        <v>215</v>
      </c>
      <c r="H140" s="8" t="s">
        <v>216</v>
      </c>
      <c r="I140" s="8" t="s">
        <v>216</v>
      </c>
    </row>
    <row r="141" spans="1:9">
      <c r="A141" s="5">
        <f t="shared" si="2"/>
        <v>140</v>
      </c>
      <c r="B141" s="6">
        <v>1021336</v>
      </c>
      <c r="C141" s="7">
        <v>69153576</v>
      </c>
      <c r="D141" s="8" t="s">
        <v>220</v>
      </c>
      <c r="E141" s="8" t="s">
        <v>54</v>
      </c>
      <c r="F141" s="8" t="s">
        <v>215</v>
      </c>
      <c r="G141" s="8" t="s">
        <v>215</v>
      </c>
      <c r="H141" s="8" t="s">
        <v>216</v>
      </c>
      <c r="I141" s="8" t="s">
        <v>216</v>
      </c>
    </row>
    <row r="142" spans="1:9">
      <c r="A142" s="5">
        <f t="shared" si="2"/>
        <v>141</v>
      </c>
      <c r="B142" s="6">
        <v>1021557</v>
      </c>
      <c r="C142" s="7">
        <v>0</v>
      </c>
      <c r="D142" s="8" t="s">
        <v>221</v>
      </c>
      <c r="E142" s="8" t="s">
        <v>54</v>
      </c>
      <c r="F142" s="8" t="s">
        <v>215</v>
      </c>
      <c r="G142" s="8" t="s">
        <v>215</v>
      </c>
      <c r="H142" s="8" t="s">
        <v>216</v>
      </c>
      <c r="I142" s="8" t="s">
        <v>216</v>
      </c>
    </row>
    <row r="143" spans="1:9">
      <c r="A143" s="5">
        <f t="shared" si="2"/>
        <v>142</v>
      </c>
      <c r="B143" s="6">
        <v>1021561</v>
      </c>
      <c r="C143" s="7">
        <v>0</v>
      </c>
      <c r="D143" s="8" t="s">
        <v>222</v>
      </c>
      <c r="E143" s="8" t="s">
        <v>54</v>
      </c>
      <c r="F143" s="8" t="s">
        <v>215</v>
      </c>
      <c r="G143" s="8" t="s">
        <v>215</v>
      </c>
      <c r="H143" s="8" t="s">
        <v>216</v>
      </c>
      <c r="I143" s="8" t="s">
        <v>216</v>
      </c>
    </row>
    <row r="144" spans="1:9">
      <c r="A144" s="5">
        <f t="shared" si="2"/>
        <v>143</v>
      </c>
      <c r="B144" s="6">
        <v>1019865</v>
      </c>
      <c r="C144" s="7">
        <v>69127238</v>
      </c>
      <c r="D144" s="8" t="s">
        <v>223</v>
      </c>
      <c r="E144" s="8" t="s">
        <v>54</v>
      </c>
      <c r="F144" s="8" t="s">
        <v>224</v>
      </c>
      <c r="G144" s="8" t="s">
        <v>224</v>
      </c>
      <c r="H144" s="8" t="s">
        <v>224</v>
      </c>
      <c r="I144" s="8" t="s">
        <v>224</v>
      </c>
    </row>
    <row r="145" spans="1:9">
      <c r="A145" s="5">
        <f t="shared" si="2"/>
        <v>144</v>
      </c>
      <c r="B145" s="6">
        <v>1019871</v>
      </c>
      <c r="C145" s="7">
        <v>69127237</v>
      </c>
      <c r="D145" s="8" t="s">
        <v>225</v>
      </c>
      <c r="E145" s="8" t="s">
        <v>54</v>
      </c>
      <c r="F145" s="8" t="s">
        <v>224</v>
      </c>
      <c r="G145" s="8" t="s">
        <v>224</v>
      </c>
      <c r="H145" s="8" t="s">
        <v>224</v>
      </c>
      <c r="I145" s="8" t="s">
        <v>224</v>
      </c>
    </row>
    <row r="146" spans="1:9">
      <c r="A146" s="5">
        <f t="shared" si="2"/>
        <v>145</v>
      </c>
      <c r="B146" s="6">
        <v>1019911</v>
      </c>
      <c r="C146" s="7">
        <v>69127230</v>
      </c>
      <c r="D146" s="8" t="s">
        <v>226</v>
      </c>
      <c r="E146" s="8" t="s">
        <v>54</v>
      </c>
      <c r="F146" s="8" t="s">
        <v>224</v>
      </c>
      <c r="G146" s="8" t="s">
        <v>224</v>
      </c>
      <c r="H146" s="8" t="s">
        <v>224</v>
      </c>
      <c r="I146" s="8" t="s">
        <v>224</v>
      </c>
    </row>
    <row r="147" spans="1:9">
      <c r="A147" s="5">
        <f t="shared" si="2"/>
        <v>146</v>
      </c>
      <c r="B147" s="6">
        <v>1019912</v>
      </c>
      <c r="C147" s="7">
        <v>69127234</v>
      </c>
      <c r="D147" s="8" t="s">
        <v>227</v>
      </c>
      <c r="E147" s="8" t="s">
        <v>54</v>
      </c>
      <c r="F147" s="8" t="s">
        <v>224</v>
      </c>
      <c r="G147" s="8" t="s">
        <v>224</v>
      </c>
      <c r="H147" s="8" t="s">
        <v>224</v>
      </c>
      <c r="I147" s="8" t="s">
        <v>224</v>
      </c>
    </row>
    <row r="148" spans="1:9">
      <c r="A148" s="5">
        <f t="shared" si="2"/>
        <v>147</v>
      </c>
      <c r="B148" s="6">
        <v>1020426</v>
      </c>
      <c r="C148" s="7">
        <v>69141392</v>
      </c>
      <c r="D148" s="8" t="s">
        <v>228</v>
      </c>
      <c r="E148" s="8" t="s">
        <v>54</v>
      </c>
      <c r="F148" s="8" t="s">
        <v>224</v>
      </c>
      <c r="G148" s="8" t="s">
        <v>224</v>
      </c>
      <c r="H148" s="8" t="s">
        <v>224</v>
      </c>
      <c r="I148" s="8" t="s">
        <v>224</v>
      </c>
    </row>
    <row r="149" spans="1:9">
      <c r="A149" s="5">
        <f t="shared" si="2"/>
        <v>148</v>
      </c>
      <c r="B149" s="6">
        <v>1021075</v>
      </c>
      <c r="C149" s="7">
        <v>69150178</v>
      </c>
      <c r="D149" s="8" t="s">
        <v>229</v>
      </c>
      <c r="E149" s="8" t="s">
        <v>54</v>
      </c>
      <c r="F149" s="8" t="s">
        <v>224</v>
      </c>
      <c r="G149" s="8" t="s">
        <v>224</v>
      </c>
      <c r="H149" s="8" t="s">
        <v>224</v>
      </c>
      <c r="I149" s="8" t="s">
        <v>224</v>
      </c>
    </row>
    <row r="150" spans="1:9">
      <c r="A150" s="5">
        <f t="shared" si="2"/>
        <v>149</v>
      </c>
      <c r="B150" s="6">
        <v>1021353</v>
      </c>
      <c r="C150" s="7">
        <v>0</v>
      </c>
      <c r="D150" s="8" t="s">
        <v>230</v>
      </c>
      <c r="E150" s="8" t="s">
        <v>54</v>
      </c>
      <c r="F150" s="8" t="s">
        <v>224</v>
      </c>
      <c r="G150" s="8" t="s">
        <v>224</v>
      </c>
      <c r="H150" s="8" t="s">
        <v>224</v>
      </c>
      <c r="I150" s="8" t="s">
        <v>224</v>
      </c>
    </row>
    <row r="151" spans="1:9">
      <c r="A151" s="5">
        <f t="shared" si="2"/>
        <v>150</v>
      </c>
      <c r="B151" s="6">
        <v>1019716</v>
      </c>
      <c r="C151" s="7">
        <v>69124200</v>
      </c>
      <c r="D151" s="8" t="s">
        <v>231</v>
      </c>
      <c r="E151" s="8" t="s">
        <v>54</v>
      </c>
      <c r="F151" s="8" t="s">
        <v>232</v>
      </c>
      <c r="G151" s="8" t="s">
        <v>232</v>
      </c>
      <c r="H151" s="8" t="s">
        <v>233</v>
      </c>
      <c r="I151" s="8" t="s">
        <v>234</v>
      </c>
    </row>
    <row r="152" spans="1:9">
      <c r="A152" s="5">
        <f t="shared" si="2"/>
        <v>151</v>
      </c>
      <c r="B152" s="6">
        <v>1019256</v>
      </c>
      <c r="C152" s="7">
        <v>69106581</v>
      </c>
      <c r="D152" s="8" t="s">
        <v>235</v>
      </c>
      <c r="E152" s="8" t="s">
        <v>54</v>
      </c>
      <c r="F152" s="8" t="s">
        <v>232</v>
      </c>
      <c r="G152" s="8" t="s">
        <v>232</v>
      </c>
      <c r="H152" s="8" t="s">
        <v>233</v>
      </c>
      <c r="I152" s="8" t="s">
        <v>233</v>
      </c>
    </row>
    <row r="153" spans="1:9">
      <c r="A153" s="5">
        <f t="shared" si="2"/>
        <v>152</v>
      </c>
      <c r="B153" s="6">
        <v>1021076</v>
      </c>
      <c r="C153" s="7">
        <v>61447319</v>
      </c>
      <c r="D153" s="8" t="s">
        <v>236</v>
      </c>
      <c r="E153" s="8" t="s">
        <v>54</v>
      </c>
      <c r="F153" s="8" t="s">
        <v>232</v>
      </c>
      <c r="G153" s="8" t="s">
        <v>232</v>
      </c>
      <c r="H153" s="8" t="s">
        <v>233</v>
      </c>
      <c r="I153" s="8" t="s">
        <v>233</v>
      </c>
    </row>
    <row r="154" spans="1:9">
      <c r="A154" s="5">
        <f t="shared" si="2"/>
        <v>153</v>
      </c>
      <c r="B154" s="6">
        <v>1021352</v>
      </c>
      <c r="C154" s="7">
        <v>69153820</v>
      </c>
      <c r="D154" s="8" t="s">
        <v>237</v>
      </c>
      <c r="E154" s="8" t="s">
        <v>54</v>
      </c>
      <c r="F154" s="8" t="s">
        <v>232</v>
      </c>
      <c r="G154" s="8" t="s">
        <v>232</v>
      </c>
      <c r="H154" s="8" t="s">
        <v>233</v>
      </c>
      <c r="I154" s="8" t="s">
        <v>233</v>
      </c>
    </row>
    <row r="155" spans="1:9">
      <c r="A155" s="5">
        <f t="shared" si="2"/>
        <v>154</v>
      </c>
      <c r="B155" s="6">
        <v>1021600</v>
      </c>
      <c r="C155" s="7">
        <v>0</v>
      </c>
      <c r="D155" s="8" t="s">
        <v>238</v>
      </c>
      <c r="E155" s="8" t="s">
        <v>54</v>
      </c>
      <c r="F155" s="8" t="s">
        <v>232</v>
      </c>
      <c r="G155" s="8" t="s">
        <v>232</v>
      </c>
      <c r="H155" s="8" t="s">
        <v>233</v>
      </c>
      <c r="I155" s="8" t="s">
        <v>233</v>
      </c>
    </row>
    <row r="156" spans="1:9">
      <c r="A156" s="5">
        <f t="shared" si="2"/>
        <v>155</v>
      </c>
      <c r="B156" s="6">
        <v>1019351</v>
      </c>
      <c r="C156" s="7">
        <v>69112668</v>
      </c>
      <c r="D156" s="8" t="s">
        <v>239</v>
      </c>
      <c r="E156" s="8" t="s">
        <v>54</v>
      </c>
      <c r="F156" s="8" t="s">
        <v>240</v>
      </c>
      <c r="G156" s="8" t="s">
        <v>240</v>
      </c>
      <c r="H156" s="8" t="s">
        <v>240</v>
      </c>
      <c r="I156" s="8" t="s">
        <v>240</v>
      </c>
    </row>
    <row r="157" spans="1:9">
      <c r="A157" s="5">
        <f t="shared" si="2"/>
        <v>156</v>
      </c>
      <c r="B157" s="6">
        <v>1019703</v>
      </c>
      <c r="C157" s="7">
        <v>69126659</v>
      </c>
      <c r="D157" s="8" t="s">
        <v>241</v>
      </c>
      <c r="E157" s="8" t="s">
        <v>54</v>
      </c>
      <c r="F157" s="8" t="s">
        <v>240</v>
      </c>
      <c r="G157" s="8" t="s">
        <v>240</v>
      </c>
      <c r="H157" s="8" t="s">
        <v>240</v>
      </c>
      <c r="I157" s="8" t="s">
        <v>240</v>
      </c>
    </row>
    <row r="158" spans="1:9">
      <c r="A158" s="5">
        <f t="shared" si="2"/>
        <v>157</v>
      </c>
      <c r="B158" s="6">
        <v>1019280</v>
      </c>
      <c r="C158" s="7">
        <v>69112241</v>
      </c>
      <c r="D158" s="8" t="s">
        <v>242</v>
      </c>
      <c r="E158" s="8" t="s">
        <v>54</v>
      </c>
      <c r="F158" s="8" t="s">
        <v>240</v>
      </c>
      <c r="G158" s="8" t="s">
        <v>240</v>
      </c>
      <c r="H158" s="8" t="s">
        <v>240</v>
      </c>
      <c r="I158" s="8" t="s">
        <v>240</v>
      </c>
    </row>
    <row r="159" spans="1:9">
      <c r="A159" s="5">
        <f t="shared" si="2"/>
        <v>158</v>
      </c>
      <c r="B159" s="6">
        <v>1019551</v>
      </c>
      <c r="C159" s="7">
        <v>69112242</v>
      </c>
      <c r="D159" s="8" t="s">
        <v>243</v>
      </c>
      <c r="E159" s="8" t="s">
        <v>54</v>
      </c>
      <c r="F159" s="8" t="s">
        <v>240</v>
      </c>
      <c r="G159" s="8" t="s">
        <v>240</v>
      </c>
      <c r="H159" s="8" t="s">
        <v>240</v>
      </c>
      <c r="I159" s="8" t="s">
        <v>240</v>
      </c>
    </row>
    <row r="160" spans="1:9">
      <c r="A160" s="5">
        <f t="shared" si="2"/>
        <v>159</v>
      </c>
      <c r="B160" s="6">
        <v>1020197</v>
      </c>
      <c r="C160" s="7">
        <v>69135068</v>
      </c>
      <c r="D160" s="8" t="s">
        <v>244</v>
      </c>
      <c r="E160" s="8" t="s">
        <v>54</v>
      </c>
      <c r="F160" s="8" t="s">
        <v>240</v>
      </c>
      <c r="G160" s="8" t="s">
        <v>240</v>
      </c>
      <c r="H160" s="8" t="s">
        <v>240</v>
      </c>
      <c r="I160" s="8" t="s">
        <v>240</v>
      </c>
    </row>
    <row r="161" spans="1:9">
      <c r="A161" s="5">
        <f t="shared" si="2"/>
        <v>160</v>
      </c>
      <c r="B161" s="6">
        <v>1019531</v>
      </c>
      <c r="C161" s="7">
        <v>69112432</v>
      </c>
      <c r="D161" s="8" t="s">
        <v>245</v>
      </c>
      <c r="E161" s="8" t="s">
        <v>54</v>
      </c>
      <c r="F161" s="8" t="s">
        <v>240</v>
      </c>
      <c r="G161" s="8" t="s">
        <v>240</v>
      </c>
      <c r="H161" s="8" t="s">
        <v>240</v>
      </c>
      <c r="I161" s="8" t="s">
        <v>240</v>
      </c>
    </row>
    <row r="162" spans="1:9">
      <c r="A162" s="5">
        <f t="shared" si="2"/>
        <v>161</v>
      </c>
      <c r="B162" s="6">
        <v>1019567</v>
      </c>
      <c r="C162" s="7">
        <v>69112136</v>
      </c>
      <c r="D162" s="8" t="s">
        <v>246</v>
      </c>
      <c r="E162" s="8" t="s">
        <v>54</v>
      </c>
      <c r="F162" s="8" t="s">
        <v>240</v>
      </c>
      <c r="G162" s="8" t="s">
        <v>240</v>
      </c>
      <c r="H162" s="8" t="s">
        <v>240</v>
      </c>
      <c r="I162" s="8" t="s">
        <v>240</v>
      </c>
    </row>
    <row r="163" spans="1:9">
      <c r="A163" s="5">
        <f t="shared" si="2"/>
        <v>162</v>
      </c>
      <c r="B163" s="6">
        <v>1019568</v>
      </c>
      <c r="C163" s="7">
        <v>69112135</v>
      </c>
      <c r="D163" s="8" t="s">
        <v>247</v>
      </c>
      <c r="E163" s="8" t="s">
        <v>54</v>
      </c>
      <c r="F163" s="8" t="s">
        <v>240</v>
      </c>
      <c r="G163" s="8" t="s">
        <v>240</v>
      </c>
      <c r="H163" s="8" t="s">
        <v>240</v>
      </c>
      <c r="I163" s="8" t="s">
        <v>240</v>
      </c>
    </row>
    <row r="164" spans="1:9">
      <c r="A164" s="5">
        <f t="shared" si="2"/>
        <v>163</v>
      </c>
      <c r="B164" s="6">
        <v>1019657</v>
      </c>
      <c r="C164" s="7">
        <v>69114281</v>
      </c>
      <c r="D164" s="8" t="s">
        <v>248</v>
      </c>
      <c r="E164" s="8" t="s">
        <v>54</v>
      </c>
      <c r="F164" s="8" t="s">
        <v>240</v>
      </c>
      <c r="G164" s="8" t="s">
        <v>240</v>
      </c>
      <c r="H164" s="8" t="s">
        <v>240</v>
      </c>
      <c r="I164" s="8" t="s">
        <v>240</v>
      </c>
    </row>
    <row r="165" spans="1:9">
      <c r="A165" s="5">
        <f t="shared" si="2"/>
        <v>164</v>
      </c>
      <c r="B165" s="6">
        <v>1019715</v>
      </c>
      <c r="C165" s="7">
        <v>69123545</v>
      </c>
      <c r="D165" s="8" t="s">
        <v>249</v>
      </c>
      <c r="E165" s="8" t="s">
        <v>54</v>
      </c>
      <c r="F165" s="8" t="s">
        <v>240</v>
      </c>
      <c r="G165" s="8" t="s">
        <v>240</v>
      </c>
      <c r="H165" s="8" t="s">
        <v>240</v>
      </c>
      <c r="I165" s="8" t="s">
        <v>240</v>
      </c>
    </row>
    <row r="166" spans="1:9">
      <c r="A166" s="5">
        <f t="shared" si="2"/>
        <v>165</v>
      </c>
      <c r="B166" s="6">
        <v>1019755</v>
      </c>
      <c r="C166" s="7">
        <v>69125257</v>
      </c>
      <c r="D166" s="8" t="s">
        <v>250</v>
      </c>
      <c r="E166" s="8" t="s">
        <v>54</v>
      </c>
      <c r="F166" s="8" t="s">
        <v>240</v>
      </c>
      <c r="G166" s="8" t="s">
        <v>240</v>
      </c>
      <c r="H166" s="8" t="s">
        <v>240</v>
      </c>
      <c r="I166" s="8" t="s">
        <v>240</v>
      </c>
    </row>
    <row r="167" spans="1:9">
      <c r="A167" s="5">
        <f t="shared" si="2"/>
        <v>166</v>
      </c>
      <c r="B167" s="6">
        <v>1019456</v>
      </c>
      <c r="C167" s="7">
        <v>69110347</v>
      </c>
      <c r="D167" s="8" t="s">
        <v>251</v>
      </c>
      <c r="E167" s="8" t="s">
        <v>54</v>
      </c>
      <c r="F167" s="8" t="s">
        <v>240</v>
      </c>
      <c r="G167" s="8" t="s">
        <v>240</v>
      </c>
      <c r="H167" s="8" t="s">
        <v>240</v>
      </c>
      <c r="I167" s="8" t="s">
        <v>240</v>
      </c>
    </row>
    <row r="168" spans="1:9">
      <c r="A168" s="5">
        <f t="shared" si="2"/>
        <v>167</v>
      </c>
      <c r="B168" s="6">
        <v>1019609</v>
      </c>
      <c r="C168" s="7">
        <v>69113348</v>
      </c>
      <c r="D168" s="8" t="s">
        <v>252</v>
      </c>
      <c r="E168" s="8" t="s">
        <v>54</v>
      </c>
      <c r="F168" s="8" t="s">
        <v>240</v>
      </c>
      <c r="G168" s="8" t="s">
        <v>240</v>
      </c>
      <c r="H168" s="8" t="s">
        <v>240</v>
      </c>
      <c r="I168" s="8" t="s">
        <v>240</v>
      </c>
    </row>
    <row r="169" spans="1:9">
      <c r="A169" s="5">
        <f t="shared" si="2"/>
        <v>168</v>
      </c>
      <c r="B169" s="11">
        <v>1018808</v>
      </c>
      <c r="C169" s="7">
        <v>69097050</v>
      </c>
      <c r="D169" s="12" t="s">
        <v>253</v>
      </c>
      <c r="E169" s="8" t="s">
        <v>54</v>
      </c>
      <c r="F169" s="8" t="s">
        <v>240</v>
      </c>
      <c r="G169" s="8" t="s">
        <v>240</v>
      </c>
      <c r="H169" s="8" t="s">
        <v>240</v>
      </c>
      <c r="I169" s="8" t="s">
        <v>240</v>
      </c>
    </row>
    <row r="170" spans="1:9">
      <c r="A170" s="5">
        <f t="shared" si="2"/>
        <v>169</v>
      </c>
      <c r="B170" s="6">
        <v>1019806</v>
      </c>
      <c r="C170" s="7">
        <v>69126472</v>
      </c>
      <c r="D170" s="8" t="s">
        <v>254</v>
      </c>
      <c r="E170" s="8" t="s">
        <v>54</v>
      </c>
      <c r="F170" s="8" t="s">
        <v>240</v>
      </c>
      <c r="G170" s="8" t="s">
        <v>240</v>
      </c>
      <c r="H170" s="8" t="s">
        <v>240</v>
      </c>
      <c r="I170" s="8" t="s">
        <v>240</v>
      </c>
    </row>
    <row r="171" spans="1:9">
      <c r="A171" s="5">
        <f t="shared" si="2"/>
        <v>170</v>
      </c>
      <c r="B171" s="6">
        <v>1019810</v>
      </c>
      <c r="C171" s="7">
        <v>69126614</v>
      </c>
      <c r="D171" s="8" t="s">
        <v>255</v>
      </c>
      <c r="E171" s="8" t="s">
        <v>54</v>
      </c>
      <c r="F171" s="8" t="s">
        <v>240</v>
      </c>
      <c r="G171" s="8" t="s">
        <v>240</v>
      </c>
      <c r="H171" s="8" t="s">
        <v>240</v>
      </c>
      <c r="I171" s="8" t="s">
        <v>240</v>
      </c>
    </row>
    <row r="172" spans="1:9">
      <c r="A172" s="5">
        <f t="shared" si="2"/>
        <v>171</v>
      </c>
      <c r="B172" s="6">
        <v>1019867</v>
      </c>
      <c r="C172" s="7">
        <v>69128187</v>
      </c>
      <c r="D172" s="8" t="s">
        <v>256</v>
      </c>
      <c r="E172" s="8" t="s">
        <v>54</v>
      </c>
      <c r="F172" s="8" t="s">
        <v>240</v>
      </c>
      <c r="G172" s="8" t="s">
        <v>240</v>
      </c>
      <c r="H172" s="8" t="s">
        <v>240</v>
      </c>
      <c r="I172" s="8" t="s">
        <v>240</v>
      </c>
    </row>
    <row r="173" spans="1:9">
      <c r="A173" s="5">
        <f t="shared" si="2"/>
        <v>172</v>
      </c>
      <c r="B173" s="6">
        <v>1019868</v>
      </c>
      <c r="C173" s="7">
        <v>69128188</v>
      </c>
      <c r="D173" s="8" t="s">
        <v>257</v>
      </c>
      <c r="E173" s="8" t="s">
        <v>54</v>
      </c>
      <c r="F173" s="8" t="s">
        <v>240</v>
      </c>
      <c r="G173" s="8" t="s">
        <v>240</v>
      </c>
      <c r="H173" s="8" t="s">
        <v>240</v>
      </c>
      <c r="I173" s="8" t="s">
        <v>240</v>
      </c>
    </row>
    <row r="174" spans="1:9">
      <c r="A174" s="5">
        <f t="shared" si="2"/>
        <v>173</v>
      </c>
      <c r="B174" s="6">
        <v>1019892</v>
      </c>
      <c r="C174" s="7">
        <v>69129260</v>
      </c>
      <c r="D174" s="8" t="s">
        <v>258</v>
      </c>
      <c r="E174" s="8" t="s">
        <v>54</v>
      </c>
      <c r="F174" s="8" t="s">
        <v>240</v>
      </c>
      <c r="G174" s="8" t="s">
        <v>240</v>
      </c>
      <c r="H174" s="8" t="s">
        <v>240</v>
      </c>
      <c r="I174" s="8" t="s">
        <v>240</v>
      </c>
    </row>
    <row r="175" spans="1:9">
      <c r="A175" s="5">
        <f t="shared" si="2"/>
        <v>174</v>
      </c>
      <c r="B175" s="6">
        <v>1019900</v>
      </c>
      <c r="C175" s="7">
        <v>69129343</v>
      </c>
      <c r="D175" s="8" t="s">
        <v>259</v>
      </c>
      <c r="E175" s="8" t="s">
        <v>54</v>
      </c>
      <c r="F175" s="8" t="s">
        <v>240</v>
      </c>
      <c r="G175" s="8" t="s">
        <v>240</v>
      </c>
      <c r="H175" s="8" t="s">
        <v>240</v>
      </c>
      <c r="I175" s="8" t="s">
        <v>240</v>
      </c>
    </row>
    <row r="176" spans="1:9">
      <c r="A176" s="5">
        <f t="shared" si="2"/>
        <v>175</v>
      </c>
      <c r="B176" s="6">
        <v>1019901</v>
      </c>
      <c r="C176" s="7">
        <v>69129345</v>
      </c>
      <c r="D176" s="8" t="s">
        <v>260</v>
      </c>
      <c r="E176" s="8" t="s">
        <v>54</v>
      </c>
      <c r="F176" s="8" t="s">
        <v>240</v>
      </c>
      <c r="G176" s="8" t="s">
        <v>240</v>
      </c>
      <c r="H176" s="8" t="s">
        <v>240</v>
      </c>
      <c r="I176" s="8" t="s">
        <v>240</v>
      </c>
    </row>
    <row r="177" spans="1:9">
      <c r="A177" s="5">
        <f t="shared" si="2"/>
        <v>176</v>
      </c>
      <c r="B177" s="6">
        <v>1019917</v>
      </c>
      <c r="C177" s="7">
        <v>69129851</v>
      </c>
      <c r="D177" s="8" t="s">
        <v>261</v>
      </c>
      <c r="E177" s="8" t="s">
        <v>54</v>
      </c>
      <c r="F177" s="8" t="s">
        <v>240</v>
      </c>
      <c r="G177" s="8" t="s">
        <v>240</v>
      </c>
      <c r="H177" s="8" t="s">
        <v>240</v>
      </c>
      <c r="I177" s="8" t="s">
        <v>240</v>
      </c>
    </row>
    <row r="178" spans="1:9">
      <c r="A178" s="5">
        <f t="shared" si="2"/>
        <v>177</v>
      </c>
      <c r="B178" s="6">
        <v>1019934</v>
      </c>
      <c r="C178" s="7">
        <v>69063906</v>
      </c>
      <c r="D178" s="8" t="s">
        <v>262</v>
      </c>
      <c r="E178" s="8" t="s">
        <v>54</v>
      </c>
      <c r="F178" s="8" t="s">
        <v>240</v>
      </c>
      <c r="G178" s="8" t="s">
        <v>240</v>
      </c>
      <c r="H178" s="8" t="s">
        <v>240</v>
      </c>
      <c r="I178" s="8" t="s">
        <v>240</v>
      </c>
    </row>
    <row r="179" spans="1:9">
      <c r="A179" s="5">
        <f t="shared" si="2"/>
        <v>178</v>
      </c>
      <c r="B179" s="6">
        <v>1019954</v>
      </c>
      <c r="C179" s="7">
        <v>69130423</v>
      </c>
      <c r="D179" s="8" t="s">
        <v>263</v>
      </c>
      <c r="E179" s="8" t="s">
        <v>54</v>
      </c>
      <c r="F179" s="8" t="s">
        <v>240</v>
      </c>
      <c r="G179" s="8" t="s">
        <v>240</v>
      </c>
      <c r="H179" s="8" t="s">
        <v>240</v>
      </c>
      <c r="I179" s="8" t="s">
        <v>240</v>
      </c>
    </row>
    <row r="180" spans="1:9">
      <c r="A180" s="5">
        <f t="shared" si="2"/>
        <v>179</v>
      </c>
      <c r="B180" s="6">
        <v>1019986</v>
      </c>
      <c r="C180" s="7">
        <v>69131762</v>
      </c>
      <c r="D180" s="8" t="s">
        <v>264</v>
      </c>
      <c r="E180" s="8" t="s">
        <v>54</v>
      </c>
      <c r="F180" s="8" t="s">
        <v>240</v>
      </c>
      <c r="G180" s="8" t="s">
        <v>240</v>
      </c>
      <c r="H180" s="8" t="s">
        <v>240</v>
      </c>
      <c r="I180" s="8" t="s">
        <v>240</v>
      </c>
    </row>
    <row r="181" spans="1:9">
      <c r="A181" s="5">
        <f t="shared" si="2"/>
        <v>180</v>
      </c>
      <c r="B181" s="6">
        <v>1020008</v>
      </c>
      <c r="C181" s="7">
        <v>69064154</v>
      </c>
      <c r="D181" s="8" t="s">
        <v>265</v>
      </c>
      <c r="E181" s="8" t="s">
        <v>54</v>
      </c>
      <c r="F181" s="8" t="s">
        <v>240</v>
      </c>
      <c r="G181" s="8" t="s">
        <v>240</v>
      </c>
      <c r="H181" s="8" t="s">
        <v>240</v>
      </c>
      <c r="I181" s="8" t="s">
        <v>240</v>
      </c>
    </row>
    <row r="182" spans="1:9">
      <c r="A182" s="5">
        <f t="shared" si="2"/>
        <v>181</v>
      </c>
      <c r="B182" s="6">
        <v>1019953</v>
      </c>
      <c r="C182" s="7">
        <v>69135970</v>
      </c>
      <c r="D182" s="8" t="s">
        <v>266</v>
      </c>
      <c r="E182" s="8" t="s">
        <v>54</v>
      </c>
      <c r="F182" s="8" t="s">
        <v>240</v>
      </c>
      <c r="G182" s="8" t="s">
        <v>240</v>
      </c>
      <c r="H182" s="8" t="s">
        <v>240</v>
      </c>
      <c r="I182" s="8" t="s">
        <v>240</v>
      </c>
    </row>
    <row r="183" spans="1:9">
      <c r="A183" s="5">
        <f t="shared" si="2"/>
        <v>182</v>
      </c>
      <c r="B183" s="6">
        <v>1020149</v>
      </c>
      <c r="C183" s="7">
        <v>69134292</v>
      </c>
      <c r="D183" s="8" t="s">
        <v>267</v>
      </c>
      <c r="E183" s="8" t="s">
        <v>54</v>
      </c>
      <c r="F183" s="8" t="s">
        <v>240</v>
      </c>
      <c r="G183" s="8" t="s">
        <v>240</v>
      </c>
      <c r="H183" s="8" t="s">
        <v>240</v>
      </c>
      <c r="I183" s="8" t="s">
        <v>240</v>
      </c>
    </row>
    <row r="184" spans="1:9">
      <c r="A184" s="5">
        <f t="shared" si="2"/>
        <v>183</v>
      </c>
      <c r="B184" s="6">
        <v>1018873</v>
      </c>
      <c r="C184" s="7">
        <v>69134787</v>
      </c>
      <c r="D184" s="8" t="s">
        <v>268</v>
      </c>
      <c r="E184" s="8" t="s">
        <v>54</v>
      </c>
      <c r="F184" s="8" t="s">
        <v>240</v>
      </c>
      <c r="G184" s="8" t="s">
        <v>240</v>
      </c>
      <c r="H184" s="8" t="s">
        <v>240</v>
      </c>
      <c r="I184" s="8" t="s">
        <v>240</v>
      </c>
    </row>
    <row r="185" spans="1:9">
      <c r="A185" s="5">
        <f t="shared" si="2"/>
        <v>184</v>
      </c>
      <c r="B185" s="6">
        <v>1020318</v>
      </c>
      <c r="C185" s="7">
        <v>69139016</v>
      </c>
      <c r="D185" s="8" t="s">
        <v>269</v>
      </c>
      <c r="E185" s="8" t="s">
        <v>54</v>
      </c>
      <c r="F185" s="8" t="s">
        <v>240</v>
      </c>
      <c r="G185" s="8" t="s">
        <v>240</v>
      </c>
      <c r="H185" s="8" t="s">
        <v>240</v>
      </c>
      <c r="I185" s="8" t="s">
        <v>240</v>
      </c>
    </row>
    <row r="186" spans="1:9">
      <c r="A186" s="5">
        <f t="shared" si="2"/>
        <v>185</v>
      </c>
      <c r="B186" s="6">
        <v>1020346</v>
      </c>
      <c r="C186" s="7">
        <v>69139630</v>
      </c>
      <c r="D186" s="8" t="s">
        <v>270</v>
      </c>
      <c r="E186" s="8" t="s">
        <v>54</v>
      </c>
      <c r="F186" s="8" t="s">
        <v>240</v>
      </c>
      <c r="G186" s="8" t="s">
        <v>240</v>
      </c>
      <c r="H186" s="8" t="s">
        <v>240</v>
      </c>
      <c r="I186" s="8" t="s">
        <v>240</v>
      </c>
    </row>
    <row r="187" spans="1:9">
      <c r="A187" s="5">
        <f t="shared" si="2"/>
        <v>186</v>
      </c>
      <c r="B187" s="6">
        <v>1020323</v>
      </c>
      <c r="C187" s="7">
        <v>69139820</v>
      </c>
      <c r="D187" s="8" t="s">
        <v>271</v>
      </c>
      <c r="E187" s="8" t="s">
        <v>54</v>
      </c>
      <c r="F187" s="8" t="s">
        <v>240</v>
      </c>
      <c r="G187" s="8" t="s">
        <v>240</v>
      </c>
      <c r="H187" s="8" t="s">
        <v>240</v>
      </c>
      <c r="I187" s="8" t="s">
        <v>240</v>
      </c>
    </row>
    <row r="188" spans="1:9">
      <c r="A188" s="5">
        <f t="shared" si="2"/>
        <v>187</v>
      </c>
      <c r="B188" s="6">
        <v>1020351</v>
      </c>
      <c r="C188" s="7">
        <v>69140561</v>
      </c>
      <c r="D188" s="8" t="s">
        <v>272</v>
      </c>
      <c r="E188" s="8" t="s">
        <v>54</v>
      </c>
      <c r="F188" s="8" t="s">
        <v>240</v>
      </c>
      <c r="G188" s="8" t="s">
        <v>240</v>
      </c>
      <c r="H188" s="8" t="s">
        <v>240</v>
      </c>
      <c r="I188" s="8" t="s">
        <v>240</v>
      </c>
    </row>
    <row r="189" spans="1:9">
      <c r="A189" s="5">
        <f t="shared" si="2"/>
        <v>188</v>
      </c>
      <c r="B189" s="6">
        <v>1020337</v>
      </c>
      <c r="C189" s="7">
        <v>69139566</v>
      </c>
      <c r="D189" s="8" t="s">
        <v>273</v>
      </c>
      <c r="E189" s="8" t="s">
        <v>54</v>
      </c>
      <c r="F189" s="8" t="s">
        <v>240</v>
      </c>
      <c r="G189" s="8" t="s">
        <v>240</v>
      </c>
      <c r="H189" s="8" t="s">
        <v>240</v>
      </c>
      <c r="I189" s="8" t="s">
        <v>240</v>
      </c>
    </row>
    <row r="190" spans="1:9">
      <c r="A190" s="5">
        <f t="shared" si="2"/>
        <v>189</v>
      </c>
      <c r="B190" s="6">
        <v>1020368</v>
      </c>
      <c r="C190" s="7">
        <v>69140279</v>
      </c>
      <c r="D190" s="8" t="s">
        <v>274</v>
      </c>
      <c r="E190" s="8" t="s">
        <v>54</v>
      </c>
      <c r="F190" s="8" t="s">
        <v>240</v>
      </c>
      <c r="G190" s="8" t="s">
        <v>240</v>
      </c>
      <c r="H190" s="8" t="s">
        <v>240</v>
      </c>
      <c r="I190" s="8" t="s">
        <v>240</v>
      </c>
    </row>
    <row r="191" spans="1:9">
      <c r="A191" s="5">
        <f t="shared" si="2"/>
        <v>190</v>
      </c>
      <c r="B191" s="6">
        <v>1020369</v>
      </c>
      <c r="C191" s="7">
        <v>69140278</v>
      </c>
      <c r="D191" s="8" t="s">
        <v>275</v>
      </c>
      <c r="E191" s="8" t="s">
        <v>54</v>
      </c>
      <c r="F191" s="8" t="s">
        <v>240</v>
      </c>
      <c r="G191" s="8" t="s">
        <v>240</v>
      </c>
      <c r="H191" s="8" t="s">
        <v>240</v>
      </c>
      <c r="I191" s="8" t="s">
        <v>240</v>
      </c>
    </row>
    <row r="192" spans="1:9">
      <c r="A192" s="5">
        <f t="shared" si="2"/>
        <v>191</v>
      </c>
      <c r="B192" s="6">
        <v>1020361</v>
      </c>
      <c r="C192" s="7">
        <v>69140131</v>
      </c>
      <c r="D192" s="8" t="s">
        <v>276</v>
      </c>
      <c r="E192" s="8" t="s">
        <v>54</v>
      </c>
      <c r="F192" s="8" t="s">
        <v>240</v>
      </c>
      <c r="G192" s="8" t="s">
        <v>240</v>
      </c>
      <c r="H192" s="8" t="s">
        <v>240</v>
      </c>
      <c r="I192" s="8" t="s">
        <v>240</v>
      </c>
    </row>
    <row r="193" spans="1:9">
      <c r="A193" s="5">
        <f t="shared" si="2"/>
        <v>192</v>
      </c>
      <c r="B193" s="6">
        <v>1020416</v>
      </c>
      <c r="C193" s="7">
        <v>69141209</v>
      </c>
      <c r="D193" s="8" t="s">
        <v>277</v>
      </c>
      <c r="E193" s="8" t="s">
        <v>54</v>
      </c>
      <c r="F193" s="8" t="s">
        <v>240</v>
      </c>
      <c r="G193" s="8" t="s">
        <v>240</v>
      </c>
      <c r="H193" s="8" t="s">
        <v>240</v>
      </c>
      <c r="I193" s="8" t="s">
        <v>240</v>
      </c>
    </row>
    <row r="194" spans="1:9">
      <c r="A194" s="5">
        <f t="shared" si="2"/>
        <v>193</v>
      </c>
      <c r="B194" s="6">
        <v>1020331</v>
      </c>
      <c r="C194" s="7">
        <v>69139822</v>
      </c>
      <c r="D194" s="8" t="s">
        <v>278</v>
      </c>
      <c r="E194" s="8" t="s">
        <v>54</v>
      </c>
      <c r="F194" s="8" t="s">
        <v>240</v>
      </c>
      <c r="G194" s="8" t="s">
        <v>240</v>
      </c>
      <c r="H194" s="8" t="s">
        <v>240</v>
      </c>
      <c r="I194" s="8" t="s">
        <v>240</v>
      </c>
    </row>
    <row r="195" spans="1:9">
      <c r="A195" s="5">
        <f t="shared" si="2"/>
        <v>194</v>
      </c>
      <c r="B195" s="6">
        <v>1020534</v>
      </c>
      <c r="C195" s="7">
        <v>69142664</v>
      </c>
      <c r="D195" s="8" t="s">
        <v>279</v>
      </c>
      <c r="E195" s="8" t="s">
        <v>54</v>
      </c>
      <c r="F195" s="8" t="s">
        <v>240</v>
      </c>
      <c r="G195" s="8" t="s">
        <v>240</v>
      </c>
      <c r="H195" s="8" t="s">
        <v>240</v>
      </c>
      <c r="I195" s="8" t="s">
        <v>240</v>
      </c>
    </row>
    <row r="196" spans="1:9">
      <c r="A196" s="5">
        <f t="shared" si="2"/>
        <v>195</v>
      </c>
      <c r="B196" s="6">
        <v>1020672</v>
      </c>
      <c r="C196" s="7">
        <v>69145362</v>
      </c>
      <c r="D196" s="8" t="s">
        <v>280</v>
      </c>
      <c r="E196" s="8" t="s">
        <v>54</v>
      </c>
      <c r="F196" s="8" t="s">
        <v>240</v>
      </c>
      <c r="G196" s="8" t="s">
        <v>240</v>
      </c>
      <c r="H196" s="8" t="s">
        <v>240</v>
      </c>
      <c r="I196" s="8" t="s">
        <v>240</v>
      </c>
    </row>
    <row r="197" spans="1:9">
      <c r="A197" s="5">
        <f t="shared" ref="A197:A260" si="3">A196+1</f>
        <v>196</v>
      </c>
      <c r="B197" s="6">
        <v>1020734</v>
      </c>
      <c r="C197" s="7">
        <v>69146566</v>
      </c>
      <c r="D197" s="8" t="s">
        <v>281</v>
      </c>
      <c r="E197" s="8" t="s">
        <v>54</v>
      </c>
      <c r="F197" s="8" t="s">
        <v>240</v>
      </c>
      <c r="G197" s="8" t="s">
        <v>240</v>
      </c>
      <c r="H197" s="8" t="s">
        <v>240</v>
      </c>
      <c r="I197" s="8" t="s">
        <v>240</v>
      </c>
    </row>
    <row r="198" spans="1:9">
      <c r="A198" s="5">
        <f t="shared" si="3"/>
        <v>197</v>
      </c>
      <c r="B198" s="6">
        <v>1020673</v>
      </c>
      <c r="C198" s="7">
        <v>69145373</v>
      </c>
      <c r="D198" s="8" t="s">
        <v>282</v>
      </c>
      <c r="E198" s="8" t="s">
        <v>54</v>
      </c>
      <c r="F198" s="8" t="s">
        <v>240</v>
      </c>
      <c r="G198" s="8" t="s">
        <v>240</v>
      </c>
      <c r="H198" s="8" t="s">
        <v>240</v>
      </c>
      <c r="I198" s="8" t="s">
        <v>240</v>
      </c>
    </row>
    <row r="199" spans="1:9">
      <c r="A199" s="5">
        <f t="shared" si="3"/>
        <v>198</v>
      </c>
      <c r="B199" s="6">
        <v>1020681</v>
      </c>
      <c r="C199" s="7">
        <v>69145657</v>
      </c>
      <c r="D199" s="8" t="s">
        <v>283</v>
      </c>
      <c r="E199" s="8" t="s">
        <v>54</v>
      </c>
      <c r="F199" s="8" t="s">
        <v>240</v>
      </c>
      <c r="G199" s="8" t="s">
        <v>240</v>
      </c>
      <c r="H199" s="8" t="s">
        <v>240</v>
      </c>
      <c r="I199" s="8" t="s">
        <v>240</v>
      </c>
    </row>
    <row r="200" spans="1:9">
      <c r="A200" s="5">
        <f t="shared" si="3"/>
        <v>199</v>
      </c>
      <c r="B200" s="6">
        <v>1020683</v>
      </c>
      <c r="C200" s="7">
        <v>69145560</v>
      </c>
      <c r="D200" s="8" t="s">
        <v>284</v>
      </c>
      <c r="E200" s="8" t="s">
        <v>54</v>
      </c>
      <c r="F200" s="8" t="s">
        <v>240</v>
      </c>
      <c r="G200" s="8" t="s">
        <v>240</v>
      </c>
      <c r="H200" s="8" t="s">
        <v>240</v>
      </c>
      <c r="I200" s="8" t="s">
        <v>240</v>
      </c>
    </row>
    <row r="201" spans="1:9">
      <c r="A201" s="5">
        <f t="shared" si="3"/>
        <v>200</v>
      </c>
      <c r="B201" s="6">
        <v>1020711</v>
      </c>
      <c r="C201" s="7">
        <v>69146022</v>
      </c>
      <c r="D201" s="8" t="s">
        <v>285</v>
      </c>
      <c r="E201" s="8" t="s">
        <v>54</v>
      </c>
      <c r="F201" s="8" t="s">
        <v>240</v>
      </c>
      <c r="G201" s="8" t="s">
        <v>240</v>
      </c>
      <c r="H201" s="8" t="s">
        <v>240</v>
      </c>
      <c r="I201" s="8" t="s">
        <v>240</v>
      </c>
    </row>
    <row r="202" spans="1:9">
      <c r="A202" s="5">
        <f t="shared" si="3"/>
        <v>201</v>
      </c>
      <c r="B202" s="6">
        <v>1020684</v>
      </c>
      <c r="C202" s="7">
        <v>69145555</v>
      </c>
      <c r="D202" s="8" t="s">
        <v>286</v>
      </c>
      <c r="E202" s="8" t="s">
        <v>54</v>
      </c>
      <c r="F202" s="8" t="s">
        <v>240</v>
      </c>
      <c r="G202" s="8" t="s">
        <v>240</v>
      </c>
      <c r="H202" s="8" t="s">
        <v>240</v>
      </c>
      <c r="I202" s="8" t="s">
        <v>240</v>
      </c>
    </row>
    <row r="203" spans="1:9">
      <c r="A203" s="5">
        <f t="shared" si="3"/>
        <v>202</v>
      </c>
      <c r="B203" s="6">
        <v>1020722</v>
      </c>
      <c r="C203" s="7">
        <v>69146482</v>
      </c>
      <c r="D203" s="8" t="s">
        <v>287</v>
      </c>
      <c r="E203" s="8" t="s">
        <v>54</v>
      </c>
      <c r="F203" s="8" t="s">
        <v>240</v>
      </c>
      <c r="G203" s="8" t="s">
        <v>240</v>
      </c>
      <c r="H203" s="8" t="s">
        <v>240</v>
      </c>
      <c r="I203" s="8" t="s">
        <v>240</v>
      </c>
    </row>
    <row r="204" spans="1:9">
      <c r="A204" s="5">
        <f t="shared" si="3"/>
        <v>203</v>
      </c>
      <c r="B204" s="6">
        <v>1020680</v>
      </c>
      <c r="C204" s="7">
        <v>69145660</v>
      </c>
      <c r="D204" s="8" t="s">
        <v>288</v>
      </c>
      <c r="E204" s="8" t="s">
        <v>54</v>
      </c>
      <c r="F204" s="8" t="s">
        <v>240</v>
      </c>
      <c r="G204" s="8" t="s">
        <v>240</v>
      </c>
      <c r="H204" s="8" t="s">
        <v>240</v>
      </c>
      <c r="I204" s="8" t="s">
        <v>240</v>
      </c>
    </row>
    <row r="205" spans="1:9">
      <c r="A205" s="5">
        <f t="shared" si="3"/>
        <v>204</v>
      </c>
      <c r="B205" s="6">
        <v>4000039</v>
      </c>
      <c r="C205" s="7">
        <v>69146106</v>
      </c>
      <c r="D205" s="8" t="s">
        <v>289</v>
      </c>
      <c r="E205" s="8" t="s">
        <v>54</v>
      </c>
      <c r="F205" s="8" t="s">
        <v>240</v>
      </c>
      <c r="G205" s="8" t="s">
        <v>240</v>
      </c>
      <c r="H205" s="8" t="s">
        <v>240</v>
      </c>
      <c r="I205" s="8" t="s">
        <v>240</v>
      </c>
    </row>
    <row r="206" spans="1:9">
      <c r="A206" s="5">
        <f t="shared" si="3"/>
        <v>205</v>
      </c>
      <c r="B206" s="6">
        <v>1020427</v>
      </c>
      <c r="C206" s="7">
        <v>69141546</v>
      </c>
      <c r="D206" s="8" t="s">
        <v>290</v>
      </c>
      <c r="E206" s="8" t="s">
        <v>54</v>
      </c>
      <c r="F206" s="8" t="s">
        <v>240</v>
      </c>
      <c r="G206" s="8" t="s">
        <v>240</v>
      </c>
      <c r="H206" s="8" t="s">
        <v>291</v>
      </c>
      <c r="I206" s="8" t="s">
        <v>240</v>
      </c>
    </row>
    <row r="207" spans="1:9">
      <c r="A207" s="5">
        <f t="shared" si="3"/>
        <v>206</v>
      </c>
      <c r="B207" s="6">
        <v>1020060</v>
      </c>
      <c r="C207" s="7">
        <v>69132671</v>
      </c>
      <c r="D207" s="8" t="s">
        <v>292</v>
      </c>
      <c r="E207" s="8" t="s">
        <v>54</v>
      </c>
      <c r="F207" s="8" t="s">
        <v>240</v>
      </c>
      <c r="G207" s="8" t="s">
        <v>240</v>
      </c>
      <c r="H207" s="8" t="s">
        <v>291</v>
      </c>
      <c r="I207" s="8" t="s">
        <v>240</v>
      </c>
    </row>
    <row r="208" spans="1:9">
      <c r="A208" s="5">
        <f t="shared" si="3"/>
        <v>207</v>
      </c>
      <c r="B208" s="6">
        <v>1020550</v>
      </c>
      <c r="C208" s="7">
        <v>69143136</v>
      </c>
      <c r="D208" s="8" t="s">
        <v>293</v>
      </c>
      <c r="E208" s="8" t="s">
        <v>54</v>
      </c>
      <c r="F208" s="8" t="s">
        <v>240</v>
      </c>
      <c r="G208" s="8" t="s">
        <v>240</v>
      </c>
      <c r="H208" s="8" t="s">
        <v>291</v>
      </c>
      <c r="I208" s="8" t="s">
        <v>240</v>
      </c>
    </row>
    <row r="209" spans="1:9">
      <c r="A209" s="5">
        <f t="shared" si="3"/>
        <v>208</v>
      </c>
      <c r="B209" s="6">
        <v>1020614</v>
      </c>
      <c r="C209" s="7">
        <v>69144476</v>
      </c>
      <c r="D209" s="8" t="s">
        <v>294</v>
      </c>
      <c r="E209" s="8" t="s">
        <v>54</v>
      </c>
      <c r="F209" s="8" t="s">
        <v>240</v>
      </c>
      <c r="G209" s="8" t="s">
        <v>240</v>
      </c>
      <c r="H209" s="8" t="s">
        <v>291</v>
      </c>
      <c r="I209" s="8" t="s">
        <v>240</v>
      </c>
    </row>
    <row r="210" spans="1:9">
      <c r="A210" s="5">
        <f t="shared" si="3"/>
        <v>209</v>
      </c>
      <c r="B210" s="6">
        <v>1020615</v>
      </c>
      <c r="C210" s="7">
        <v>69144475</v>
      </c>
      <c r="D210" s="8" t="s">
        <v>295</v>
      </c>
      <c r="E210" s="8" t="s">
        <v>54</v>
      </c>
      <c r="F210" s="8" t="s">
        <v>240</v>
      </c>
      <c r="G210" s="8" t="s">
        <v>240</v>
      </c>
      <c r="H210" s="8" t="s">
        <v>291</v>
      </c>
      <c r="I210" s="8" t="s">
        <v>240</v>
      </c>
    </row>
    <row r="211" spans="1:9">
      <c r="A211" s="5">
        <f t="shared" si="3"/>
        <v>210</v>
      </c>
      <c r="B211" s="6">
        <v>1020616</v>
      </c>
      <c r="C211" s="7">
        <v>69144477</v>
      </c>
      <c r="D211" s="8" t="s">
        <v>296</v>
      </c>
      <c r="E211" s="8" t="s">
        <v>54</v>
      </c>
      <c r="F211" s="8" t="s">
        <v>240</v>
      </c>
      <c r="G211" s="8" t="s">
        <v>240</v>
      </c>
      <c r="H211" s="8" t="s">
        <v>291</v>
      </c>
      <c r="I211" s="8" t="s">
        <v>240</v>
      </c>
    </row>
    <row r="212" spans="1:9">
      <c r="A212" s="5">
        <f t="shared" si="3"/>
        <v>211</v>
      </c>
      <c r="B212" s="6">
        <v>1020625</v>
      </c>
      <c r="C212" s="7">
        <v>69144642</v>
      </c>
      <c r="D212" s="8" t="s">
        <v>297</v>
      </c>
      <c r="E212" s="8" t="s">
        <v>54</v>
      </c>
      <c r="F212" s="8" t="s">
        <v>240</v>
      </c>
      <c r="G212" s="8" t="s">
        <v>240</v>
      </c>
      <c r="H212" s="8" t="s">
        <v>291</v>
      </c>
      <c r="I212" s="8" t="s">
        <v>240</v>
      </c>
    </row>
    <row r="213" spans="1:9">
      <c r="A213" s="5">
        <f t="shared" si="3"/>
        <v>212</v>
      </c>
      <c r="B213" s="6">
        <v>1020763</v>
      </c>
      <c r="C213" s="7">
        <v>69147237</v>
      </c>
      <c r="D213" s="8" t="s">
        <v>298</v>
      </c>
      <c r="E213" s="8" t="s">
        <v>54</v>
      </c>
      <c r="F213" s="8" t="s">
        <v>240</v>
      </c>
      <c r="G213" s="8" t="s">
        <v>240</v>
      </c>
      <c r="H213" s="8" t="s">
        <v>291</v>
      </c>
      <c r="I213" s="8" t="s">
        <v>240</v>
      </c>
    </row>
    <row r="214" spans="1:9">
      <c r="A214" s="5">
        <f t="shared" si="3"/>
        <v>213</v>
      </c>
      <c r="B214" s="6">
        <v>1020758</v>
      </c>
      <c r="C214" s="7">
        <v>69147082</v>
      </c>
      <c r="D214" s="8" t="s">
        <v>299</v>
      </c>
      <c r="E214" s="8" t="s">
        <v>54</v>
      </c>
      <c r="F214" s="8" t="s">
        <v>240</v>
      </c>
      <c r="G214" s="8" t="s">
        <v>240</v>
      </c>
      <c r="H214" s="8" t="s">
        <v>291</v>
      </c>
      <c r="I214" s="8" t="s">
        <v>240</v>
      </c>
    </row>
    <row r="215" spans="1:9">
      <c r="A215" s="5">
        <f t="shared" si="3"/>
        <v>214</v>
      </c>
      <c r="B215" s="6">
        <v>1020771</v>
      </c>
      <c r="C215" s="7">
        <v>69146567</v>
      </c>
      <c r="D215" s="8" t="s">
        <v>300</v>
      </c>
      <c r="E215" s="8" t="s">
        <v>54</v>
      </c>
      <c r="F215" s="8" t="s">
        <v>240</v>
      </c>
      <c r="G215" s="8" t="s">
        <v>240</v>
      </c>
      <c r="H215" s="8" t="s">
        <v>291</v>
      </c>
      <c r="I215" s="8" t="s">
        <v>240</v>
      </c>
    </row>
    <row r="216" spans="1:9">
      <c r="A216" s="5">
        <f t="shared" si="3"/>
        <v>215</v>
      </c>
      <c r="B216" s="6">
        <v>1020807</v>
      </c>
      <c r="C216" s="7">
        <v>69147550</v>
      </c>
      <c r="D216" s="8" t="s">
        <v>301</v>
      </c>
      <c r="E216" s="8" t="s">
        <v>54</v>
      </c>
      <c r="F216" s="8" t="s">
        <v>240</v>
      </c>
      <c r="G216" s="8" t="s">
        <v>240</v>
      </c>
      <c r="H216" s="8" t="s">
        <v>291</v>
      </c>
      <c r="I216" s="8" t="s">
        <v>240</v>
      </c>
    </row>
    <row r="217" spans="1:9">
      <c r="A217" s="5">
        <f t="shared" si="3"/>
        <v>216</v>
      </c>
      <c r="B217" s="6">
        <v>1020915</v>
      </c>
      <c r="C217" s="7">
        <v>69148094</v>
      </c>
      <c r="D217" s="8" t="s">
        <v>302</v>
      </c>
      <c r="E217" s="8" t="s">
        <v>54</v>
      </c>
      <c r="F217" s="8" t="s">
        <v>240</v>
      </c>
      <c r="G217" s="8" t="s">
        <v>240</v>
      </c>
      <c r="H217" s="8" t="s">
        <v>291</v>
      </c>
      <c r="I217" s="8" t="s">
        <v>240</v>
      </c>
    </row>
    <row r="218" spans="1:9">
      <c r="A218" s="5">
        <f t="shared" si="3"/>
        <v>217</v>
      </c>
      <c r="B218" s="6">
        <v>1020933</v>
      </c>
      <c r="C218" s="7">
        <v>69148342</v>
      </c>
      <c r="D218" s="8" t="s">
        <v>303</v>
      </c>
      <c r="E218" s="8" t="s">
        <v>54</v>
      </c>
      <c r="F218" s="8" t="s">
        <v>240</v>
      </c>
      <c r="G218" s="8" t="s">
        <v>240</v>
      </c>
      <c r="H218" s="8" t="s">
        <v>291</v>
      </c>
      <c r="I218" s="8" t="s">
        <v>240</v>
      </c>
    </row>
    <row r="219" spans="1:9">
      <c r="A219" s="5">
        <f t="shared" si="3"/>
        <v>218</v>
      </c>
      <c r="B219" s="6">
        <v>1020970</v>
      </c>
      <c r="C219" s="7">
        <v>69115772</v>
      </c>
      <c r="D219" s="8" t="s">
        <v>304</v>
      </c>
      <c r="E219" s="8" t="s">
        <v>54</v>
      </c>
      <c r="F219" s="8" t="s">
        <v>240</v>
      </c>
      <c r="G219" s="8" t="s">
        <v>240</v>
      </c>
      <c r="H219" s="8" t="s">
        <v>291</v>
      </c>
      <c r="I219" s="8" t="s">
        <v>240</v>
      </c>
    </row>
    <row r="220" spans="1:9">
      <c r="A220" s="5">
        <f t="shared" si="3"/>
        <v>219</v>
      </c>
      <c r="B220" s="6">
        <v>1020985</v>
      </c>
      <c r="C220" s="7">
        <v>69064186</v>
      </c>
      <c r="D220" s="8" t="s">
        <v>305</v>
      </c>
      <c r="E220" s="8" t="s">
        <v>54</v>
      </c>
      <c r="F220" s="8" t="s">
        <v>240</v>
      </c>
      <c r="G220" s="8" t="s">
        <v>240</v>
      </c>
      <c r="H220" s="8" t="s">
        <v>291</v>
      </c>
      <c r="I220" s="8" t="s">
        <v>240</v>
      </c>
    </row>
    <row r="221" spans="1:9">
      <c r="A221" s="5">
        <f t="shared" si="3"/>
        <v>220</v>
      </c>
      <c r="B221" s="6">
        <v>1021014</v>
      </c>
      <c r="C221" s="7">
        <v>69149433</v>
      </c>
      <c r="D221" s="8" t="s">
        <v>306</v>
      </c>
      <c r="E221" s="8" t="s">
        <v>54</v>
      </c>
      <c r="F221" s="8" t="s">
        <v>240</v>
      </c>
      <c r="G221" s="8" t="s">
        <v>240</v>
      </c>
      <c r="H221" s="8" t="s">
        <v>291</v>
      </c>
      <c r="I221" s="8" t="s">
        <v>240</v>
      </c>
    </row>
    <row r="222" spans="1:9">
      <c r="A222" s="5">
        <f t="shared" si="3"/>
        <v>221</v>
      </c>
      <c r="B222" s="6">
        <v>1021059</v>
      </c>
      <c r="C222" s="7">
        <v>69090410</v>
      </c>
      <c r="D222" s="9" t="s">
        <v>307</v>
      </c>
      <c r="E222" s="8" t="s">
        <v>54</v>
      </c>
      <c r="F222" s="8" t="s">
        <v>240</v>
      </c>
      <c r="G222" s="8" t="s">
        <v>240</v>
      </c>
      <c r="H222" s="8" t="s">
        <v>291</v>
      </c>
      <c r="I222" s="8" t="s">
        <v>240</v>
      </c>
    </row>
    <row r="223" spans="1:9">
      <c r="A223" s="5">
        <f t="shared" si="3"/>
        <v>222</v>
      </c>
      <c r="B223" s="6">
        <v>1021067</v>
      </c>
      <c r="C223" s="7">
        <v>69150336</v>
      </c>
      <c r="D223" s="8" t="s">
        <v>308</v>
      </c>
      <c r="E223" s="8" t="s">
        <v>54</v>
      </c>
      <c r="F223" s="8" t="s">
        <v>240</v>
      </c>
      <c r="G223" s="8" t="s">
        <v>240</v>
      </c>
      <c r="H223" s="8" t="s">
        <v>291</v>
      </c>
      <c r="I223" s="8" t="s">
        <v>240</v>
      </c>
    </row>
    <row r="224" spans="1:9">
      <c r="A224" s="5">
        <f t="shared" si="3"/>
        <v>223</v>
      </c>
      <c r="B224" s="6">
        <v>1021357</v>
      </c>
      <c r="C224" s="7">
        <v>69153878</v>
      </c>
      <c r="D224" s="8" t="s">
        <v>309</v>
      </c>
      <c r="E224" s="8" t="s">
        <v>54</v>
      </c>
      <c r="F224" s="8" t="s">
        <v>240</v>
      </c>
      <c r="G224" s="8" t="s">
        <v>240</v>
      </c>
      <c r="H224" s="8" t="s">
        <v>291</v>
      </c>
      <c r="I224" s="8" t="s">
        <v>240</v>
      </c>
    </row>
    <row r="225" spans="1:9">
      <c r="A225" s="5">
        <f t="shared" si="3"/>
        <v>224</v>
      </c>
      <c r="B225" s="6">
        <v>1021356</v>
      </c>
      <c r="C225" s="7">
        <v>69153877</v>
      </c>
      <c r="D225" s="8" t="s">
        <v>310</v>
      </c>
      <c r="E225" s="8" t="s">
        <v>54</v>
      </c>
      <c r="F225" s="8" t="s">
        <v>240</v>
      </c>
      <c r="G225" s="8" t="s">
        <v>240</v>
      </c>
      <c r="H225" s="8" t="s">
        <v>291</v>
      </c>
      <c r="I225" s="8" t="s">
        <v>240</v>
      </c>
    </row>
    <row r="226" spans="1:9">
      <c r="A226" s="5">
        <f t="shared" si="3"/>
        <v>225</v>
      </c>
      <c r="B226" s="6">
        <v>1020674</v>
      </c>
      <c r="C226" s="7">
        <v>69145404</v>
      </c>
      <c r="D226" s="8" t="s">
        <v>311</v>
      </c>
      <c r="E226" s="8" t="s">
        <v>54</v>
      </c>
      <c r="F226" s="8" t="s">
        <v>240</v>
      </c>
      <c r="G226" s="8" t="s">
        <v>240</v>
      </c>
      <c r="H226" s="8" t="s">
        <v>291</v>
      </c>
      <c r="I226" s="8" t="s">
        <v>240</v>
      </c>
    </row>
    <row r="227" spans="1:9">
      <c r="A227" s="5">
        <f t="shared" si="3"/>
        <v>226</v>
      </c>
      <c r="B227" s="6">
        <v>1021481</v>
      </c>
      <c r="C227" s="7">
        <v>69154898</v>
      </c>
      <c r="D227" s="8" t="s">
        <v>312</v>
      </c>
      <c r="E227" s="8" t="s">
        <v>54</v>
      </c>
      <c r="F227" s="8" t="s">
        <v>240</v>
      </c>
      <c r="G227" s="8" t="s">
        <v>240</v>
      </c>
      <c r="H227" s="8" t="s">
        <v>291</v>
      </c>
      <c r="I227" s="8" t="s">
        <v>240</v>
      </c>
    </row>
    <row r="228" spans="1:9">
      <c r="A228" s="5">
        <f t="shared" si="3"/>
        <v>227</v>
      </c>
      <c r="B228" s="6">
        <v>1021566</v>
      </c>
      <c r="C228" s="7" t="e">
        <v>#N/A</v>
      </c>
      <c r="D228" s="8" t="s">
        <v>313</v>
      </c>
      <c r="E228" s="8" t="s">
        <v>54</v>
      </c>
      <c r="F228" s="8" t="s">
        <v>240</v>
      </c>
      <c r="G228" s="8" t="s">
        <v>240</v>
      </c>
      <c r="H228" s="8" t="s">
        <v>291</v>
      </c>
      <c r="I228" s="8" t="s">
        <v>240</v>
      </c>
    </row>
    <row r="229" spans="1:9">
      <c r="A229" s="5">
        <f t="shared" si="3"/>
        <v>228</v>
      </c>
      <c r="B229" s="6">
        <v>1021689</v>
      </c>
      <c r="C229" s="7" t="e">
        <v>#N/A</v>
      </c>
      <c r="D229" s="8" t="s">
        <v>314</v>
      </c>
      <c r="E229" s="8" t="s">
        <v>54</v>
      </c>
      <c r="F229" s="8" t="s">
        <v>240</v>
      </c>
      <c r="G229" s="8" t="s">
        <v>315</v>
      </c>
      <c r="H229" s="8" t="s">
        <v>291</v>
      </c>
      <c r="I229" s="8" t="s">
        <v>291</v>
      </c>
    </row>
    <row r="230" spans="1:9">
      <c r="A230" s="5">
        <f t="shared" si="3"/>
        <v>229</v>
      </c>
      <c r="B230" s="6">
        <v>1018530</v>
      </c>
      <c r="C230" s="7">
        <v>69110271</v>
      </c>
      <c r="D230" s="8" t="s">
        <v>316</v>
      </c>
      <c r="E230" s="8" t="s">
        <v>54</v>
      </c>
      <c r="F230" s="8" t="s">
        <v>163</v>
      </c>
      <c r="G230" s="8" t="s">
        <v>163</v>
      </c>
      <c r="H230" s="8" t="s">
        <v>163</v>
      </c>
      <c r="I230" s="8" t="s">
        <v>163</v>
      </c>
    </row>
    <row r="231" spans="1:9">
      <c r="A231" s="5">
        <f t="shared" si="3"/>
        <v>230</v>
      </c>
      <c r="B231" s="6">
        <v>1018908</v>
      </c>
      <c r="C231" s="7">
        <v>61350219</v>
      </c>
      <c r="D231" s="8" t="s">
        <v>317</v>
      </c>
      <c r="E231" s="8" t="s">
        <v>54</v>
      </c>
      <c r="F231" s="8" t="s">
        <v>163</v>
      </c>
      <c r="G231" s="8" t="s">
        <v>163</v>
      </c>
      <c r="H231" s="8" t="s">
        <v>163</v>
      </c>
      <c r="I231" s="8" t="s">
        <v>163</v>
      </c>
    </row>
    <row r="232" spans="1:9">
      <c r="A232" s="5">
        <f t="shared" si="3"/>
        <v>231</v>
      </c>
      <c r="B232" s="6">
        <v>1018925</v>
      </c>
      <c r="C232" s="7">
        <v>69004765</v>
      </c>
      <c r="D232" s="8" t="s">
        <v>318</v>
      </c>
      <c r="E232" s="8" t="s">
        <v>54</v>
      </c>
      <c r="F232" s="8" t="s">
        <v>163</v>
      </c>
      <c r="G232" s="8" t="s">
        <v>163</v>
      </c>
      <c r="H232" s="8" t="s">
        <v>163</v>
      </c>
      <c r="I232" s="8" t="s">
        <v>163</v>
      </c>
    </row>
    <row r="233" spans="1:9">
      <c r="A233" s="5">
        <f t="shared" si="3"/>
        <v>232</v>
      </c>
      <c r="B233" s="6">
        <v>1018976</v>
      </c>
      <c r="C233" s="7">
        <v>69102206</v>
      </c>
      <c r="D233" s="8" t="s">
        <v>319</v>
      </c>
      <c r="E233" s="8" t="s">
        <v>54</v>
      </c>
      <c r="F233" s="8" t="s">
        <v>163</v>
      </c>
      <c r="G233" s="8" t="s">
        <v>163</v>
      </c>
      <c r="H233" s="8" t="s">
        <v>163</v>
      </c>
      <c r="I233" s="8" t="s">
        <v>163</v>
      </c>
    </row>
    <row r="234" spans="1:9">
      <c r="A234" s="5">
        <f t="shared" si="3"/>
        <v>233</v>
      </c>
      <c r="B234" s="6">
        <v>1018979</v>
      </c>
      <c r="C234" s="7">
        <v>61380165</v>
      </c>
      <c r="D234" s="8" t="s">
        <v>320</v>
      </c>
      <c r="E234" s="8" t="s">
        <v>54</v>
      </c>
      <c r="F234" s="8" t="s">
        <v>163</v>
      </c>
      <c r="G234" s="8" t="s">
        <v>163</v>
      </c>
      <c r="H234" s="8" t="s">
        <v>163</v>
      </c>
      <c r="I234" s="8" t="s">
        <v>163</v>
      </c>
    </row>
    <row r="235" spans="1:9">
      <c r="A235" s="5">
        <f t="shared" si="3"/>
        <v>234</v>
      </c>
      <c r="B235" s="6">
        <v>1018987</v>
      </c>
      <c r="C235" s="7">
        <v>69005768</v>
      </c>
      <c r="D235" s="8" t="s">
        <v>321</v>
      </c>
      <c r="E235" s="8" t="s">
        <v>54</v>
      </c>
      <c r="F235" s="8" t="s">
        <v>163</v>
      </c>
      <c r="G235" s="8" t="s">
        <v>163</v>
      </c>
      <c r="H235" s="8" t="s">
        <v>163</v>
      </c>
      <c r="I235" s="8" t="s">
        <v>163</v>
      </c>
    </row>
    <row r="236" spans="1:9">
      <c r="A236" s="5">
        <f t="shared" si="3"/>
        <v>235</v>
      </c>
      <c r="B236" s="6">
        <v>1018996</v>
      </c>
      <c r="C236" s="7">
        <v>69102204</v>
      </c>
      <c r="D236" s="8" t="s">
        <v>322</v>
      </c>
      <c r="E236" s="8" t="s">
        <v>54</v>
      </c>
      <c r="F236" s="8" t="s">
        <v>163</v>
      </c>
      <c r="G236" s="8" t="s">
        <v>163</v>
      </c>
      <c r="H236" s="8" t="s">
        <v>163</v>
      </c>
      <c r="I236" s="8" t="s">
        <v>163</v>
      </c>
    </row>
    <row r="237" spans="1:9">
      <c r="A237" s="5">
        <f t="shared" si="3"/>
        <v>236</v>
      </c>
      <c r="B237" s="6">
        <v>1019000</v>
      </c>
      <c r="C237" s="7">
        <v>69008700</v>
      </c>
      <c r="D237" s="8" t="s">
        <v>323</v>
      </c>
      <c r="E237" s="8" t="s">
        <v>54</v>
      </c>
      <c r="F237" s="8" t="s">
        <v>163</v>
      </c>
      <c r="G237" s="8" t="s">
        <v>163</v>
      </c>
      <c r="H237" s="8" t="s">
        <v>163</v>
      </c>
      <c r="I237" s="8" t="s">
        <v>163</v>
      </c>
    </row>
    <row r="238" spans="1:9">
      <c r="A238" s="5">
        <f t="shared" si="3"/>
        <v>237</v>
      </c>
      <c r="B238" s="6">
        <v>1019014</v>
      </c>
      <c r="C238" s="7">
        <v>69102205</v>
      </c>
      <c r="D238" s="8" t="s">
        <v>324</v>
      </c>
      <c r="E238" s="8" t="s">
        <v>54</v>
      </c>
      <c r="F238" s="8" t="s">
        <v>163</v>
      </c>
      <c r="G238" s="8" t="s">
        <v>163</v>
      </c>
      <c r="H238" s="8" t="s">
        <v>163</v>
      </c>
      <c r="I238" s="8" t="s">
        <v>163</v>
      </c>
    </row>
    <row r="239" spans="1:9">
      <c r="A239" s="5">
        <f t="shared" si="3"/>
        <v>238</v>
      </c>
      <c r="B239" s="6">
        <v>1019090</v>
      </c>
      <c r="C239" s="7">
        <v>69102531</v>
      </c>
      <c r="D239" s="8" t="s">
        <v>325</v>
      </c>
      <c r="E239" s="8" t="s">
        <v>54</v>
      </c>
      <c r="F239" s="8" t="s">
        <v>163</v>
      </c>
      <c r="G239" s="8" t="s">
        <v>163</v>
      </c>
      <c r="H239" s="8" t="s">
        <v>163</v>
      </c>
      <c r="I239" s="8" t="s">
        <v>163</v>
      </c>
    </row>
    <row r="240" spans="1:9">
      <c r="A240" s="5">
        <f t="shared" si="3"/>
        <v>239</v>
      </c>
      <c r="B240" s="6">
        <v>1019097</v>
      </c>
      <c r="C240" s="7">
        <v>69082465</v>
      </c>
      <c r="D240" s="8" t="s">
        <v>326</v>
      </c>
      <c r="E240" s="8" t="s">
        <v>54</v>
      </c>
      <c r="F240" s="8" t="s">
        <v>163</v>
      </c>
      <c r="G240" s="8" t="s">
        <v>163</v>
      </c>
      <c r="H240" s="8" t="s">
        <v>163</v>
      </c>
      <c r="I240" s="8" t="s">
        <v>163</v>
      </c>
    </row>
    <row r="241" spans="1:9">
      <c r="A241" s="5">
        <f t="shared" si="3"/>
        <v>240</v>
      </c>
      <c r="B241" s="6">
        <v>1019098</v>
      </c>
      <c r="C241" s="7">
        <v>69019439</v>
      </c>
      <c r="D241" s="8" t="s">
        <v>327</v>
      </c>
      <c r="E241" s="8" t="s">
        <v>54</v>
      </c>
      <c r="F241" s="8" t="s">
        <v>163</v>
      </c>
      <c r="G241" s="8" t="s">
        <v>163</v>
      </c>
      <c r="H241" s="8" t="s">
        <v>163</v>
      </c>
      <c r="I241" s="8" t="s">
        <v>163</v>
      </c>
    </row>
    <row r="242" spans="1:9">
      <c r="A242" s="5">
        <f t="shared" si="3"/>
        <v>241</v>
      </c>
      <c r="B242" s="6">
        <v>1019112</v>
      </c>
      <c r="C242" s="7">
        <v>69104785</v>
      </c>
      <c r="D242" s="8" t="s">
        <v>328</v>
      </c>
      <c r="E242" s="8" t="s">
        <v>54</v>
      </c>
      <c r="F242" s="8" t="s">
        <v>163</v>
      </c>
      <c r="G242" s="8" t="s">
        <v>163</v>
      </c>
      <c r="H242" s="8" t="s">
        <v>163</v>
      </c>
      <c r="I242" s="8" t="s">
        <v>163</v>
      </c>
    </row>
    <row r="243" spans="1:9">
      <c r="A243" s="5">
        <f t="shared" si="3"/>
        <v>242</v>
      </c>
      <c r="B243" s="6">
        <v>1019157</v>
      </c>
      <c r="C243" s="7">
        <v>69097640</v>
      </c>
      <c r="D243" s="8" t="s">
        <v>329</v>
      </c>
      <c r="E243" s="8" t="s">
        <v>54</v>
      </c>
      <c r="F243" s="8" t="s">
        <v>163</v>
      </c>
      <c r="G243" s="8" t="s">
        <v>163</v>
      </c>
      <c r="H243" s="8" t="s">
        <v>163</v>
      </c>
      <c r="I243" s="8" t="s">
        <v>163</v>
      </c>
    </row>
    <row r="244" spans="1:9">
      <c r="A244" s="5">
        <f t="shared" si="3"/>
        <v>243</v>
      </c>
      <c r="B244" s="6">
        <v>1019181</v>
      </c>
      <c r="C244" s="7">
        <v>61380609</v>
      </c>
      <c r="D244" s="8" t="s">
        <v>330</v>
      </c>
      <c r="E244" s="8" t="s">
        <v>54</v>
      </c>
      <c r="F244" s="8" t="s">
        <v>163</v>
      </c>
      <c r="G244" s="8" t="s">
        <v>163</v>
      </c>
      <c r="H244" s="8" t="s">
        <v>163</v>
      </c>
      <c r="I244" s="8" t="s">
        <v>163</v>
      </c>
    </row>
    <row r="245" spans="1:9">
      <c r="A245" s="5">
        <f t="shared" si="3"/>
        <v>244</v>
      </c>
      <c r="B245" s="6">
        <v>1019214</v>
      </c>
      <c r="C245" s="7">
        <v>69104782</v>
      </c>
      <c r="D245" s="8" t="s">
        <v>331</v>
      </c>
      <c r="E245" s="8" t="s">
        <v>54</v>
      </c>
      <c r="F245" s="8" t="s">
        <v>163</v>
      </c>
      <c r="G245" s="8" t="s">
        <v>163</v>
      </c>
      <c r="H245" s="8" t="s">
        <v>163</v>
      </c>
      <c r="I245" s="8" t="s">
        <v>163</v>
      </c>
    </row>
    <row r="246" spans="1:9">
      <c r="A246" s="5">
        <f t="shared" si="3"/>
        <v>245</v>
      </c>
      <c r="B246" s="6">
        <v>1019292</v>
      </c>
      <c r="C246" s="7">
        <v>61439799</v>
      </c>
      <c r="D246" s="8" t="s">
        <v>332</v>
      </c>
      <c r="E246" s="8" t="s">
        <v>54</v>
      </c>
      <c r="F246" s="8" t="s">
        <v>163</v>
      </c>
      <c r="G246" s="8" t="s">
        <v>163</v>
      </c>
      <c r="H246" s="8" t="s">
        <v>163</v>
      </c>
      <c r="I246" s="8" t="s">
        <v>163</v>
      </c>
    </row>
    <row r="247" spans="1:9">
      <c r="A247" s="5">
        <f t="shared" si="3"/>
        <v>246</v>
      </c>
      <c r="B247" s="6">
        <v>1019307</v>
      </c>
      <c r="C247" s="7">
        <v>69110261</v>
      </c>
      <c r="D247" s="8" t="s">
        <v>333</v>
      </c>
      <c r="E247" s="8" t="s">
        <v>54</v>
      </c>
      <c r="F247" s="8" t="s">
        <v>163</v>
      </c>
      <c r="G247" s="8" t="s">
        <v>163</v>
      </c>
      <c r="H247" s="8" t="s">
        <v>163</v>
      </c>
      <c r="I247" s="8" t="s">
        <v>163</v>
      </c>
    </row>
    <row r="248" spans="1:9">
      <c r="A248" s="5">
        <f t="shared" si="3"/>
        <v>247</v>
      </c>
      <c r="B248" s="6">
        <v>1019310</v>
      </c>
      <c r="C248" s="7">
        <v>69110257</v>
      </c>
      <c r="D248" s="8" t="s">
        <v>334</v>
      </c>
      <c r="E248" s="8" t="s">
        <v>54</v>
      </c>
      <c r="F248" s="8" t="s">
        <v>163</v>
      </c>
      <c r="G248" s="8" t="s">
        <v>163</v>
      </c>
      <c r="H248" s="8" t="s">
        <v>163</v>
      </c>
      <c r="I248" s="8" t="s">
        <v>163</v>
      </c>
    </row>
    <row r="249" spans="1:9">
      <c r="A249" s="5">
        <f t="shared" si="3"/>
        <v>248</v>
      </c>
      <c r="B249" s="6">
        <v>1019352</v>
      </c>
      <c r="C249" s="7">
        <v>69110260</v>
      </c>
      <c r="D249" s="8" t="s">
        <v>335</v>
      </c>
      <c r="E249" s="8" t="s">
        <v>54</v>
      </c>
      <c r="F249" s="8" t="s">
        <v>163</v>
      </c>
      <c r="G249" s="8" t="s">
        <v>163</v>
      </c>
      <c r="H249" s="8" t="s">
        <v>163</v>
      </c>
      <c r="I249" s="8" t="s">
        <v>163</v>
      </c>
    </row>
    <row r="250" spans="1:9">
      <c r="A250" s="5">
        <f t="shared" si="3"/>
        <v>249</v>
      </c>
      <c r="B250" s="6">
        <v>1019365</v>
      </c>
      <c r="C250" s="7">
        <v>69110263</v>
      </c>
      <c r="D250" s="8" t="s">
        <v>336</v>
      </c>
      <c r="E250" s="8" t="s">
        <v>54</v>
      </c>
      <c r="F250" s="8" t="s">
        <v>163</v>
      </c>
      <c r="G250" s="8" t="s">
        <v>163</v>
      </c>
      <c r="H250" s="8" t="s">
        <v>163</v>
      </c>
      <c r="I250" s="8" t="s">
        <v>163</v>
      </c>
    </row>
    <row r="251" spans="1:9">
      <c r="A251" s="5">
        <f t="shared" si="3"/>
        <v>250</v>
      </c>
      <c r="B251" s="6">
        <v>1019389</v>
      </c>
      <c r="C251" s="7">
        <v>69110265</v>
      </c>
      <c r="D251" s="8" t="s">
        <v>337</v>
      </c>
      <c r="E251" s="8" t="s">
        <v>54</v>
      </c>
      <c r="F251" s="8" t="s">
        <v>163</v>
      </c>
      <c r="G251" s="8" t="s">
        <v>163</v>
      </c>
      <c r="H251" s="8" t="s">
        <v>163</v>
      </c>
      <c r="I251" s="8" t="s">
        <v>163</v>
      </c>
    </row>
    <row r="252" spans="1:9">
      <c r="A252" s="5">
        <f t="shared" si="3"/>
        <v>251</v>
      </c>
      <c r="B252" s="6">
        <v>1019431</v>
      </c>
      <c r="C252" s="7">
        <v>61449853</v>
      </c>
      <c r="D252" s="8" t="s">
        <v>338</v>
      </c>
      <c r="E252" s="8" t="s">
        <v>54</v>
      </c>
      <c r="F252" s="8" t="s">
        <v>163</v>
      </c>
      <c r="G252" s="8" t="s">
        <v>163</v>
      </c>
      <c r="H252" s="8" t="s">
        <v>163</v>
      </c>
      <c r="I252" s="8" t="s">
        <v>163</v>
      </c>
    </row>
    <row r="253" spans="1:9">
      <c r="A253" s="5">
        <f t="shared" si="3"/>
        <v>252</v>
      </c>
      <c r="B253" s="6">
        <v>1019538</v>
      </c>
      <c r="C253" s="7">
        <v>69112362</v>
      </c>
      <c r="D253" s="8" t="s">
        <v>339</v>
      </c>
      <c r="E253" s="8" t="s">
        <v>54</v>
      </c>
      <c r="F253" s="8" t="s">
        <v>163</v>
      </c>
      <c r="G253" s="8" t="s">
        <v>163</v>
      </c>
      <c r="H253" s="8" t="s">
        <v>163</v>
      </c>
      <c r="I253" s="8" t="s">
        <v>163</v>
      </c>
    </row>
    <row r="254" spans="1:9">
      <c r="A254" s="5">
        <f t="shared" si="3"/>
        <v>253</v>
      </c>
      <c r="B254" s="6">
        <v>1019566</v>
      </c>
      <c r="C254" s="7">
        <v>69114140</v>
      </c>
      <c r="D254" s="8" t="s">
        <v>340</v>
      </c>
      <c r="E254" s="8" t="s">
        <v>54</v>
      </c>
      <c r="F254" s="8" t="s">
        <v>163</v>
      </c>
      <c r="G254" s="8" t="s">
        <v>163</v>
      </c>
      <c r="H254" s="8" t="s">
        <v>163</v>
      </c>
      <c r="I254" s="8" t="s">
        <v>163</v>
      </c>
    </row>
    <row r="255" spans="1:9">
      <c r="A255" s="5">
        <f t="shared" si="3"/>
        <v>254</v>
      </c>
      <c r="B255" s="6">
        <v>1019607</v>
      </c>
      <c r="C255" s="7">
        <v>69019473</v>
      </c>
      <c r="D255" s="9" t="s">
        <v>341</v>
      </c>
      <c r="E255" s="8" t="s">
        <v>54</v>
      </c>
      <c r="F255" s="8" t="s">
        <v>163</v>
      </c>
      <c r="G255" s="8" t="s">
        <v>163</v>
      </c>
      <c r="H255" s="8" t="s">
        <v>163</v>
      </c>
      <c r="I255" s="8" t="s">
        <v>163</v>
      </c>
    </row>
    <row r="256" spans="1:9">
      <c r="A256" s="5">
        <f t="shared" si="3"/>
        <v>255</v>
      </c>
      <c r="B256" s="6">
        <v>1019639</v>
      </c>
      <c r="C256" s="7">
        <v>69019421</v>
      </c>
      <c r="D256" s="9" t="s">
        <v>342</v>
      </c>
      <c r="E256" s="8" t="s">
        <v>54</v>
      </c>
      <c r="F256" s="8" t="s">
        <v>163</v>
      </c>
      <c r="G256" s="8" t="s">
        <v>163</v>
      </c>
      <c r="H256" s="8" t="s">
        <v>163</v>
      </c>
      <c r="I256" s="8" t="s">
        <v>163</v>
      </c>
    </row>
    <row r="257" spans="1:9">
      <c r="A257" s="5">
        <f t="shared" si="3"/>
        <v>256</v>
      </c>
      <c r="B257" s="6">
        <v>1019050</v>
      </c>
      <c r="C257" s="7">
        <v>61469599</v>
      </c>
      <c r="D257" s="8" t="s">
        <v>343</v>
      </c>
      <c r="E257" s="8" t="s">
        <v>54</v>
      </c>
      <c r="F257" s="8" t="s">
        <v>163</v>
      </c>
      <c r="G257" s="8" t="s">
        <v>163</v>
      </c>
      <c r="H257" s="8" t="s">
        <v>163</v>
      </c>
      <c r="I257" s="8" t="s">
        <v>163</v>
      </c>
    </row>
    <row r="258" spans="1:9">
      <c r="A258" s="5">
        <f t="shared" si="3"/>
        <v>257</v>
      </c>
      <c r="B258" s="6">
        <v>1019103</v>
      </c>
      <c r="C258" s="7">
        <v>61374738</v>
      </c>
      <c r="D258" s="9" t="s">
        <v>344</v>
      </c>
      <c r="E258" s="8" t="s">
        <v>54</v>
      </c>
      <c r="F258" s="8" t="s">
        <v>163</v>
      </c>
      <c r="G258" s="8" t="s">
        <v>163</v>
      </c>
      <c r="H258" s="8" t="s">
        <v>163</v>
      </c>
      <c r="I258" s="8" t="s">
        <v>163</v>
      </c>
    </row>
    <row r="259" spans="1:9">
      <c r="A259" s="5">
        <f t="shared" si="3"/>
        <v>258</v>
      </c>
      <c r="B259" s="6">
        <v>1019526</v>
      </c>
      <c r="C259" s="7">
        <v>69111621</v>
      </c>
      <c r="D259" s="8" t="s">
        <v>345</v>
      </c>
      <c r="E259" s="8" t="s">
        <v>54</v>
      </c>
      <c r="F259" s="8" t="s">
        <v>163</v>
      </c>
      <c r="G259" s="8" t="s">
        <v>163</v>
      </c>
      <c r="H259" s="8" t="s">
        <v>163</v>
      </c>
      <c r="I259" s="8" t="s">
        <v>163</v>
      </c>
    </row>
    <row r="260" spans="1:9">
      <c r="A260" s="5">
        <f t="shared" si="3"/>
        <v>259</v>
      </c>
      <c r="B260" s="6">
        <v>1019556</v>
      </c>
      <c r="C260" s="7">
        <v>69112364</v>
      </c>
      <c r="D260" s="8" t="s">
        <v>346</v>
      </c>
      <c r="E260" s="8" t="s">
        <v>54</v>
      </c>
      <c r="F260" s="8" t="s">
        <v>163</v>
      </c>
      <c r="G260" s="8" t="s">
        <v>163</v>
      </c>
      <c r="H260" s="8" t="s">
        <v>163</v>
      </c>
      <c r="I260" s="8" t="s">
        <v>163</v>
      </c>
    </row>
    <row r="261" spans="1:9">
      <c r="A261" s="5">
        <f t="shared" ref="A261:A324" si="4">A260+1</f>
        <v>260</v>
      </c>
      <c r="B261" s="6">
        <v>1019583</v>
      </c>
      <c r="C261" s="7">
        <v>69112435</v>
      </c>
      <c r="D261" s="8" t="s">
        <v>347</v>
      </c>
      <c r="E261" s="8" t="s">
        <v>54</v>
      </c>
      <c r="F261" s="8" t="s">
        <v>163</v>
      </c>
      <c r="G261" s="8" t="s">
        <v>163</v>
      </c>
      <c r="H261" s="8" t="s">
        <v>163</v>
      </c>
      <c r="I261" s="8" t="s">
        <v>163</v>
      </c>
    </row>
    <row r="262" spans="1:9">
      <c r="A262" s="5">
        <f t="shared" si="4"/>
        <v>261</v>
      </c>
      <c r="B262" s="6">
        <v>1019628</v>
      </c>
      <c r="C262" s="7">
        <v>61435052</v>
      </c>
      <c r="D262" s="9" t="s">
        <v>348</v>
      </c>
      <c r="E262" s="8" t="s">
        <v>54</v>
      </c>
      <c r="F262" s="8" t="s">
        <v>163</v>
      </c>
      <c r="G262" s="8" t="s">
        <v>163</v>
      </c>
      <c r="H262" s="8" t="s">
        <v>163</v>
      </c>
      <c r="I262" s="8" t="s">
        <v>163</v>
      </c>
    </row>
    <row r="263" spans="1:9">
      <c r="A263" s="5">
        <f t="shared" si="4"/>
        <v>262</v>
      </c>
      <c r="B263" s="6">
        <v>1018879</v>
      </c>
      <c r="C263" s="7">
        <v>69098678</v>
      </c>
      <c r="D263" s="9" t="s">
        <v>349</v>
      </c>
      <c r="E263" s="8" t="s">
        <v>54</v>
      </c>
      <c r="F263" s="8" t="s">
        <v>163</v>
      </c>
      <c r="G263" s="8" t="s">
        <v>163</v>
      </c>
      <c r="H263" s="8" t="s">
        <v>163</v>
      </c>
      <c r="I263" s="8" t="s">
        <v>163</v>
      </c>
    </row>
    <row r="264" spans="1:9">
      <c r="A264" s="5">
        <f t="shared" si="4"/>
        <v>263</v>
      </c>
      <c r="B264" s="6">
        <v>1019506</v>
      </c>
      <c r="C264" s="7">
        <v>69113329</v>
      </c>
      <c r="D264" s="8" t="s">
        <v>350</v>
      </c>
      <c r="E264" s="8" t="s">
        <v>54</v>
      </c>
      <c r="F264" s="8" t="s">
        <v>163</v>
      </c>
      <c r="G264" s="8" t="s">
        <v>163</v>
      </c>
      <c r="H264" s="8" t="s">
        <v>163</v>
      </c>
      <c r="I264" s="8" t="s">
        <v>163</v>
      </c>
    </row>
    <row r="265" spans="1:9">
      <c r="A265" s="5">
        <f t="shared" si="4"/>
        <v>264</v>
      </c>
      <c r="B265" s="6">
        <v>1020030</v>
      </c>
      <c r="C265" s="7">
        <v>61391500</v>
      </c>
      <c r="D265" s="8" t="s">
        <v>351</v>
      </c>
      <c r="E265" s="8" t="s">
        <v>54</v>
      </c>
      <c r="F265" s="8" t="s">
        <v>70</v>
      </c>
      <c r="G265" s="8" t="s">
        <v>70</v>
      </c>
      <c r="H265" s="8" t="s">
        <v>70</v>
      </c>
      <c r="I265" s="8" t="s">
        <v>70</v>
      </c>
    </row>
    <row r="266" spans="1:9">
      <c r="A266" s="5">
        <f t="shared" si="4"/>
        <v>265</v>
      </c>
      <c r="B266" s="6">
        <v>1020144</v>
      </c>
      <c r="C266" s="7">
        <v>69134021</v>
      </c>
      <c r="D266" s="8" t="s">
        <v>352</v>
      </c>
      <c r="E266" s="8" t="s">
        <v>54</v>
      </c>
      <c r="F266" s="8" t="s">
        <v>70</v>
      </c>
      <c r="G266" s="8" t="s">
        <v>70</v>
      </c>
      <c r="H266" s="8" t="s">
        <v>70</v>
      </c>
      <c r="I266" s="8" t="s">
        <v>70</v>
      </c>
    </row>
    <row r="267" spans="1:9">
      <c r="A267" s="5">
        <f t="shared" si="4"/>
        <v>266</v>
      </c>
      <c r="B267" s="6">
        <v>1020124</v>
      </c>
      <c r="C267" s="7">
        <v>69133386</v>
      </c>
      <c r="D267" s="8" t="s">
        <v>353</v>
      </c>
      <c r="E267" s="8" t="s">
        <v>54</v>
      </c>
      <c r="F267" s="8" t="s">
        <v>70</v>
      </c>
      <c r="G267" s="8" t="s">
        <v>70</v>
      </c>
      <c r="H267" s="8" t="s">
        <v>70</v>
      </c>
      <c r="I267" s="8" t="s">
        <v>70</v>
      </c>
    </row>
    <row r="268" spans="1:9">
      <c r="A268" s="5">
        <f t="shared" si="4"/>
        <v>267</v>
      </c>
      <c r="B268" s="6">
        <v>1020157</v>
      </c>
      <c r="C268" s="7">
        <v>69135400</v>
      </c>
      <c r="D268" s="8" t="s">
        <v>354</v>
      </c>
      <c r="E268" s="8" t="s">
        <v>54</v>
      </c>
      <c r="F268" s="8" t="s">
        <v>70</v>
      </c>
      <c r="G268" s="8" t="s">
        <v>70</v>
      </c>
      <c r="H268" s="8" t="s">
        <v>70</v>
      </c>
      <c r="I268" s="8" t="s">
        <v>70</v>
      </c>
    </row>
    <row r="269" spans="1:9">
      <c r="A269" s="5">
        <f t="shared" si="4"/>
        <v>268</v>
      </c>
      <c r="B269" s="6">
        <v>1020204</v>
      </c>
      <c r="C269" s="7">
        <v>69135343</v>
      </c>
      <c r="D269" s="8" t="s">
        <v>355</v>
      </c>
      <c r="E269" s="8" t="s">
        <v>54</v>
      </c>
      <c r="F269" s="8" t="s">
        <v>163</v>
      </c>
      <c r="G269" s="8" t="s">
        <v>163</v>
      </c>
      <c r="H269" s="8" t="s">
        <v>163</v>
      </c>
      <c r="I269" s="8" t="s">
        <v>163</v>
      </c>
    </row>
    <row r="270" spans="1:9">
      <c r="A270" s="5">
        <f t="shared" si="4"/>
        <v>269</v>
      </c>
      <c r="B270" s="6">
        <v>1020229</v>
      </c>
      <c r="C270" s="7">
        <v>69138461</v>
      </c>
      <c r="D270" s="8" t="s">
        <v>356</v>
      </c>
      <c r="E270" s="8" t="s">
        <v>54</v>
      </c>
      <c r="F270" s="8" t="s">
        <v>70</v>
      </c>
      <c r="G270" s="8" t="s">
        <v>70</v>
      </c>
      <c r="H270" s="8" t="s">
        <v>70</v>
      </c>
      <c r="I270" s="8" t="s">
        <v>70</v>
      </c>
    </row>
    <row r="271" spans="1:9">
      <c r="A271" s="5">
        <f t="shared" si="4"/>
        <v>270</v>
      </c>
      <c r="B271" s="6">
        <v>1020289</v>
      </c>
      <c r="C271" s="13">
        <v>69009931</v>
      </c>
      <c r="D271" s="8" t="s">
        <v>357</v>
      </c>
      <c r="E271" s="8" t="s">
        <v>54</v>
      </c>
      <c r="F271" s="8" t="s">
        <v>163</v>
      </c>
      <c r="G271" s="8" t="s">
        <v>163</v>
      </c>
      <c r="H271" s="8" t="s">
        <v>163</v>
      </c>
      <c r="I271" s="8" t="s">
        <v>163</v>
      </c>
    </row>
    <row r="272" spans="1:9">
      <c r="A272" s="5">
        <f t="shared" si="4"/>
        <v>271</v>
      </c>
      <c r="B272" s="6">
        <v>1020377</v>
      </c>
      <c r="C272" s="7">
        <v>69140404</v>
      </c>
      <c r="D272" s="8" t="s">
        <v>358</v>
      </c>
      <c r="E272" s="8" t="s">
        <v>54</v>
      </c>
      <c r="F272" s="8" t="s">
        <v>163</v>
      </c>
      <c r="G272" s="8" t="s">
        <v>163</v>
      </c>
      <c r="H272" s="8" t="s">
        <v>163</v>
      </c>
      <c r="I272" s="8" t="s">
        <v>163</v>
      </c>
    </row>
    <row r="273" spans="1:9">
      <c r="A273" s="5">
        <f t="shared" si="4"/>
        <v>272</v>
      </c>
      <c r="B273" s="6">
        <v>1020539</v>
      </c>
      <c r="C273" s="7">
        <v>69142943</v>
      </c>
      <c r="D273" s="8" t="s">
        <v>359</v>
      </c>
      <c r="E273" s="8" t="s">
        <v>54</v>
      </c>
      <c r="F273" s="8" t="s">
        <v>163</v>
      </c>
      <c r="G273" s="8" t="s">
        <v>163</v>
      </c>
      <c r="H273" s="8" t="s">
        <v>163</v>
      </c>
      <c r="I273" s="8" t="s">
        <v>163</v>
      </c>
    </row>
    <row r="274" spans="1:9">
      <c r="A274" s="5">
        <f t="shared" si="4"/>
        <v>273</v>
      </c>
      <c r="B274" s="6">
        <v>1020584</v>
      </c>
      <c r="C274" s="7">
        <v>61379433</v>
      </c>
      <c r="D274" s="8" t="s">
        <v>360</v>
      </c>
      <c r="E274" s="8" t="s">
        <v>54</v>
      </c>
      <c r="F274" s="8" t="s">
        <v>163</v>
      </c>
      <c r="G274" s="8" t="s">
        <v>163</v>
      </c>
      <c r="H274" s="8" t="s">
        <v>163</v>
      </c>
      <c r="I274" s="8" t="s">
        <v>163</v>
      </c>
    </row>
    <row r="275" spans="1:9">
      <c r="A275" s="5">
        <f t="shared" si="4"/>
        <v>274</v>
      </c>
      <c r="B275" s="6">
        <v>1020605</v>
      </c>
      <c r="C275" s="7">
        <v>69002372</v>
      </c>
      <c r="D275" s="8" t="s">
        <v>361</v>
      </c>
      <c r="E275" s="8" t="s">
        <v>54</v>
      </c>
      <c r="F275" s="8" t="s">
        <v>163</v>
      </c>
      <c r="G275" s="8" t="s">
        <v>163</v>
      </c>
      <c r="H275" s="8" t="s">
        <v>163</v>
      </c>
      <c r="I275" s="8" t="s">
        <v>163</v>
      </c>
    </row>
    <row r="276" spans="1:9">
      <c r="A276" s="5">
        <f t="shared" si="4"/>
        <v>275</v>
      </c>
      <c r="B276" s="6">
        <v>1020663</v>
      </c>
      <c r="C276" s="7">
        <v>69084884</v>
      </c>
      <c r="D276" s="8" t="s">
        <v>362</v>
      </c>
      <c r="E276" s="8" t="s">
        <v>54</v>
      </c>
      <c r="F276" s="8" t="s">
        <v>163</v>
      </c>
      <c r="G276" s="8" t="s">
        <v>163</v>
      </c>
      <c r="H276" s="8" t="s">
        <v>163</v>
      </c>
      <c r="I276" s="8" t="s">
        <v>163</v>
      </c>
    </row>
    <row r="277" spans="1:9">
      <c r="A277" s="5">
        <f t="shared" si="4"/>
        <v>276</v>
      </c>
      <c r="B277" s="6">
        <v>1020664</v>
      </c>
      <c r="C277" s="7">
        <v>62012356</v>
      </c>
      <c r="D277" s="8" t="s">
        <v>363</v>
      </c>
      <c r="E277" s="8" t="s">
        <v>54</v>
      </c>
      <c r="F277" s="8" t="s">
        <v>163</v>
      </c>
      <c r="G277" s="8" t="s">
        <v>163</v>
      </c>
      <c r="H277" s="8" t="s">
        <v>163</v>
      </c>
      <c r="I277" s="8" t="s">
        <v>163</v>
      </c>
    </row>
    <row r="278" spans="1:9">
      <c r="A278" s="5">
        <f t="shared" si="4"/>
        <v>277</v>
      </c>
      <c r="B278" s="6">
        <v>1020755</v>
      </c>
      <c r="C278" s="7">
        <v>69147497</v>
      </c>
      <c r="D278" s="8" t="s">
        <v>364</v>
      </c>
      <c r="E278" s="8" t="s">
        <v>54</v>
      </c>
      <c r="F278" s="8" t="s">
        <v>163</v>
      </c>
      <c r="G278" s="8" t="s">
        <v>163</v>
      </c>
      <c r="H278" s="8" t="s">
        <v>163</v>
      </c>
      <c r="I278" s="8" t="s">
        <v>163</v>
      </c>
    </row>
    <row r="279" spans="1:9">
      <c r="A279" s="5">
        <f t="shared" si="4"/>
        <v>278</v>
      </c>
      <c r="B279" s="6">
        <v>1020903</v>
      </c>
      <c r="C279" s="7">
        <v>69148788</v>
      </c>
      <c r="D279" s="9" t="s">
        <v>365</v>
      </c>
      <c r="E279" s="8" t="s">
        <v>54</v>
      </c>
      <c r="F279" s="8" t="s">
        <v>163</v>
      </c>
      <c r="G279" s="8" t="s">
        <v>163</v>
      </c>
      <c r="H279" s="8" t="s">
        <v>163</v>
      </c>
      <c r="I279" s="8" t="s">
        <v>163</v>
      </c>
    </row>
    <row r="280" spans="1:9">
      <c r="A280" s="5">
        <f t="shared" si="4"/>
        <v>279</v>
      </c>
      <c r="B280" s="6">
        <v>1020925</v>
      </c>
      <c r="C280" s="7">
        <v>69148354</v>
      </c>
      <c r="D280" s="8" t="s">
        <v>366</v>
      </c>
      <c r="E280" s="8" t="s">
        <v>54</v>
      </c>
      <c r="F280" s="8" t="s">
        <v>163</v>
      </c>
      <c r="G280" s="8" t="s">
        <v>163</v>
      </c>
      <c r="H280" s="8" t="s">
        <v>163</v>
      </c>
      <c r="I280" s="8" t="s">
        <v>163</v>
      </c>
    </row>
    <row r="281" spans="1:9">
      <c r="A281" s="5">
        <f t="shared" si="4"/>
        <v>280</v>
      </c>
      <c r="B281" s="6">
        <v>1020945</v>
      </c>
      <c r="C281" s="7">
        <v>69025258</v>
      </c>
      <c r="D281" s="8" t="s">
        <v>367</v>
      </c>
      <c r="E281" s="8" t="s">
        <v>54</v>
      </c>
      <c r="F281" s="8" t="s">
        <v>163</v>
      </c>
      <c r="G281" s="8" t="s">
        <v>163</v>
      </c>
      <c r="H281" s="8" t="s">
        <v>163</v>
      </c>
      <c r="I281" s="8" t="s">
        <v>163</v>
      </c>
    </row>
    <row r="282" spans="1:9">
      <c r="A282" s="5">
        <f t="shared" si="4"/>
        <v>281</v>
      </c>
      <c r="B282" s="6">
        <v>1021510</v>
      </c>
      <c r="C282" s="7">
        <v>69104722</v>
      </c>
      <c r="D282" s="8" t="s">
        <v>368</v>
      </c>
      <c r="E282" s="8" t="s">
        <v>54</v>
      </c>
      <c r="F282" s="8" t="s">
        <v>163</v>
      </c>
      <c r="G282" s="8" t="s">
        <v>163</v>
      </c>
      <c r="H282" s="8" t="s">
        <v>163</v>
      </c>
      <c r="I282" s="8" t="s">
        <v>70</v>
      </c>
    </row>
    <row r="283" spans="1:9">
      <c r="A283" s="5">
        <f t="shared" si="4"/>
        <v>282</v>
      </c>
      <c r="B283" s="6">
        <v>1019475</v>
      </c>
      <c r="C283" s="7">
        <v>69110966</v>
      </c>
      <c r="D283" s="8" t="s">
        <v>369</v>
      </c>
      <c r="E283" s="8" t="s">
        <v>54</v>
      </c>
      <c r="F283" s="8" t="s">
        <v>90</v>
      </c>
      <c r="G283" s="8" t="s">
        <v>90</v>
      </c>
      <c r="H283" s="8" t="s">
        <v>90</v>
      </c>
      <c r="I283" s="8" t="s">
        <v>90</v>
      </c>
    </row>
    <row r="284" spans="1:9">
      <c r="A284" s="5">
        <f t="shared" si="4"/>
        <v>283</v>
      </c>
      <c r="B284" s="6">
        <v>1020786</v>
      </c>
      <c r="C284" s="7">
        <v>69147679</v>
      </c>
      <c r="D284" s="8" t="s">
        <v>370</v>
      </c>
      <c r="E284" s="8" t="s">
        <v>54</v>
      </c>
      <c r="F284" s="8" t="s">
        <v>90</v>
      </c>
      <c r="G284" s="8" t="s">
        <v>90</v>
      </c>
      <c r="H284" s="8" t="s">
        <v>371</v>
      </c>
      <c r="I284" s="8" t="s">
        <v>90</v>
      </c>
    </row>
    <row r="285" spans="1:9">
      <c r="A285" s="5">
        <f t="shared" si="4"/>
        <v>284</v>
      </c>
      <c r="B285" s="6">
        <v>1019935</v>
      </c>
      <c r="C285" s="7">
        <v>69136032</v>
      </c>
      <c r="D285" s="8" t="s">
        <v>372</v>
      </c>
      <c r="E285" s="8" t="s">
        <v>54</v>
      </c>
      <c r="F285" s="8" t="s">
        <v>90</v>
      </c>
      <c r="G285" s="8" t="s">
        <v>90</v>
      </c>
      <c r="H285" s="8" t="s">
        <v>371</v>
      </c>
      <c r="I285" s="8" t="s">
        <v>90</v>
      </c>
    </row>
    <row r="286" spans="1:9">
      <c r="A286" s="5">
        <f t="shared" si="4"/>
        <v>285</v>
      </c>
      <c r="B286" s="6">
        <v>1019228</v>
      </c>
      <c r="C286" s="7">
        <v>69110129</v>
      </c>
      <c r="D286" s="8" t="s">
        <v>373</v>
      </c>
      <c r="E286" s="8" t="s">
        <v>54</v>
      </c>
      <c r="F286" s="8" t="s">
        <v>90</v>
      </c>
      <c r="G286" s="8" t="s">
        <v>90</v>
      </c>
      <c r="H286" s="8" t="s">
        <v>371</v>
      </c>
      <c r="I286" s="8" t="s">
        <v>90</v>
      </c>
    </row>
    <row r="287" spans="1:9">
      <c r="A287" s="5">
        <f t="shared" si="4"/>
        <v>286</v>
      </c>
      <c r="B287" s="6">
        <v>1019049</v>
      </c>
      <c r="C287" s="7">
        <v>69106006</v>
      </c>
      <c r="D287" s="8" t="s">
        <v>374</v>
      </c>
      <c r="E287" s="8" t="s">
        <v>54</v>
      </c>
      <c r="F287" s="8" t="s">
        <v>90</v>
      </c>
      <c r="G287" s="8" t="s">
        <v>90</v>
      </c>
      <c r="H287" s="8" t="s">
        <v>371</v>
      </c>
      <c r="I287" s="8" t="s">
        <v>90</v>
      </c>
    </row>
    <row r="288" spans="1:9">
      <c r="A288" s="5">
        <f t="shared" si="4"/>
        <v>287</v>
      </c>
      <c r="B288" s="6">
        <v>1019248</v>
      </c>
      <c r="C288" s="7">
        <v>69106203</v>
      </c>
      <c r="D288" s="8" t="s">
        <v>375</v>
      </c>
      <c r="E288" s="8" t="s">
        <v>54</v>
      </c>
      <c r="F288" s="8" t="s">
        <v>90</v>
      </c>
      <c r="G288" s="8" t="s">
        <v>90</v>
      </c>
      <c r="H288" s="8" t="s">
        <v>371</v>
      </c>
      <c r="I288" s="8" t="s">
        <v>90</v>
      </c>
    </row>
    <row r="289" spans="1:9">
      <c r="A289" s="5">
        <f t="shared" si="4"/>
        <v>288</v>
      </c>
      <c r="B289" s="6">
        <v>1019368</v>
      </c>
      <c r="C289" s="7">
        <v>69108622</v>
      </c>
      <c r="D289" s="8" t="s">
        <v>376</v>
      </c>
      <c r="E289" s="8" t="s">
        <v>54</v>
      </c>
      <c r="F289" s="8" t="s">
        <v>90</v>
      </c>
      <c r="G289" s="8" t="s">
        <v>90</v>
      </c>
      <c r="H289" s="8" t="s">
        <v>371</v>
      </c>
      <c r="I289" s="8" t="s">
        <v>90</v>
      </c>
    </row>
    <row r="290" spans="1:9">
      <c r="A290" s="5">
        <f t="shared" si="4"/>
        <v>289</v>
      </c>
      <c r="B290" s="6">
        <v>1019450</v>
      </c>
      <c r="C290" s="7">
        <v>69111289</v>
      </c>
      <c r="D290" s="8" t="s">
        <v>377</v>
      </c>
      <c r="E290" s="8" t="s">
        <v>54</v>
      </c>
      <c r="F290" s="8" t="s">
        <v>90</v>
      </c>
      <c r="G290" s="8" t="s">
        <v>90</v>
      </c>
      <c r="H290" s="8" t="s">
        <v>371</v>
      </c>
      <c r="I290" s="8" t="s">
        <v>90</v>
      </c>
    </row>
    <row r="291" spans="1:9">
      <c r="A291" s="5">
        <f t="shared" si="4"/>
        <v>290</v>
      </c>
      <c r="B291" s="6">
        <v>1019476</v>
      </c>
      <c r="C291" s="7">
        <v>69111281</v>
      </c>
      <c r="D291" s="8" t="s">
        <v>378</v>
      </c>
      <c r="E291" s="8" t="s">
        <v>54</v>
      </c>
      <c r="F291" s="8" t="s">
        <v>90</v>
      </c>
      <c r="G291" s="8" t="s">
        <v>90</v>
      </c>
      <c r="H291" s="8" t="s">
        <v>371</v>
      </c>
      <c r="I291" s="8" t="s">
        <v>90</v>
      </c>
    </row>
    <row r="292" spans="1:9">
      <c r="A292" s="5">
        <f t="shared" si="4"/>
        <v>291</v>
      </c>
      <c r="B292" s="6">
        <v>1019507</v>
      </c>
      <c r="C292" s="7">
        <v>69122278</v>
      </c>
      <c r="D292" s="8" t="s">
        <v>379</v>
      </c>
      <c r="E292" s="8" t="s">
        <v>54</v>
      </c>
      <c r="F292" s="8" t="s">
        <v>90</v>
      </c>
      <c r="G292" s="8" t="s">
        <v>90</v>
      </c>
      <c r="H292" s="8" t="s">
        <v>371</v>
      </c>
      <c r="I292" s="8" t="s">
        <v>90</v>
      </c>
    </row>
    <row r="293" spans="1:9">
      <c r="A293" s="5">
        <f t="shared" si="4"/>
        <v>292</v>
      </c>
      <c r="B293" s="6">
        <v>1019543</v>
      </c>
      <c r="C293" s="7">
        <v>69112196</v>
      </c>
      <c r="D293" s="9" t="s">
        <v>380</v>
      </c>
      <c r="E293" s="8" t="s">
        <v>54</v>
      </c>
      <c r="F293" s="8" t="s">
        <v>90</v>
      </c>
      <c r="G293" s="8" t="s">
        <v>90</v>
      </c>
      <c r="H293" s="8" t="s">
        <v>371</v>
      </c>
      <c r="I293" s="8" t="s">
        <v>90</v>
      </c>
    </row>
    <row r="294" spans="1:9">
      <c r="A294" s="5">
        <f t="shared" si="4"/>
        <v>293</v>
      </c>
      <c r="B294" s="6">
        <v>1019415</v>
      </c>
      <c r="C294" s="7">
        <v>69110012</v>
      </c>
      <c r="D294" s="8" t="s">
        <v>381</v>
      </c>
      <c r="E294" s="8" t="s">
        <v>54</v>
      </c>
      <c r="F294" s="8" t="s">
        <v>90</v>
      </c>
      <c r="G294" s="8" t="s">
        <v>90</v>
      </c>
      <c r="H294" s="8" t="s">
        <v>371</v>
      </c>
      <c r="I294" s="8" t="s">
        <v>90</v>
      </c>
    </row>
    <row r="295" spans="1:9">
      <c r="A295" s="5">
        <f t="shared" si="4"/>
        <v>294</v>
      </c>
      <c r="B295" s="6">
        <v>1019432</v>
      </c>
      <c r="C295" s="7">
        <v>69110013</v>
      </c>
      <c r="D295" s="8" t="s">
        <v>382</v>
      </c>
      <c r="E295" s="8" t="s">
        <v>54</v>
      </c>
      <c r="F295" s="8" t="s">
        <v>90</v>
      </c>
      <c r="G295" s="8" t="s">
        <v>90</v>
      </c>
      <c r="H295" s="8" t="s">
        <v>371</v>
      </c>
      <c r="I295" s="8" t="s">
        <v>90</v>
      </c>
    </row>
    <row r="296" spans="1:9">
      <c r="A296" s="5">
        <f t="shared" si="4"/>
        <v>295</v>
      </c>
      <c r="B296" s="6">
        <v>1019447</v>
      </c>
      <c r="C296" s="7">
        <v>69111287</v>
      </c>
      <c r="D296" s="8" t="s">
        <v>383</v>
      </c>
      <c r="E296" s="8" t="s">
        <v>54</v>
      </c>
      <c r="F296" s="8" t="s">
        <v>90</v>
      </c>
      <c r="G296" s="8" t="s">
        <v>90</v>
      </c>
      <c r="H296" s="8" t="s">
        <v>371</v>
      </c>
      <c r="I296" s="8" t="s">
        <v>90</v>
      </c>
    </row>
    <row r="297" spans="1:9">
      <c r="A297" s="5">
        <f t="shared" si="4"/>
        <v>296</v>
      </c>
      <c r="B297" s="6">
        <v>1019509</v>
      </c>
      <c r="C297" s="7">
        <v>69111291</v>
      </c>
      <c r="D297" s="8" t="s">
        <v>384</v>
      </c>
      <c r="E297" s="8" t="s">
        <v>54</v>
      </c>
      <c r="F297" s="8" t="s">
        <v>90</v>
      </c>
      <c r="G297" s="8" t="s">
        <v>90</v>
      </c>
      <c r="H297" s="8" t="s">
        <v>371</v>
      </c>
      <c r="I297" s="8" t="s">
        <v>90</v>
      </c>
    </row>
    <row r="298" spans="1:9">
      <c r="A298" s="5">
        <f t="shared" si="4"/>
        <v>297</v>
      </c>
      <c r="B298" s="6">
        <v>1019564</v>
      </c>
      <c r="C298" s="7">
        <v>69114272</v>
      </c>
      <c r="D298" s="8" t="s">
        <v>385</v>
      </c>
      <c r="E298" s="8" t="s">
        <v>54</v>
      </c>
      <c r="F298" s="8" t="s">
        <v>90</v>
      </c>
      <c r="G298" s="8" t="s">
        <v>90</v>
      </c>
      <c r="H298" s="8" t="s">
        <v>371</v>
      </c>
      <c r="I298" s="8" t="s">
        <v>90</v>
      </c>
    </row>
    <row r="299" spans="1:9">
      <c r="A299" s="5">
        <f t="shared" si="4"/>
        <v>298</v>
      </c>
      <c r="B299" s="6">
        <v>1019956</v>
      </c>
      <c r="C299" s="7">
        <v>69131679</v>
      </c>
      <c r="D299" s="8" t="s">
        <v>386</v>
      </c>
      <c r="E299" s="8" t="s">
        <v>54</v>
      </c>
      <c r="F299" s="8" t="s">
        <v>90</v>
      </c>
      <c r="G299" s="8" t="s">
        <v>90</v>
      </c>
      <c r="H299" s="8" t="s">
        <v>371</v>
      </c>
      <c r="I299" s="8" t="s">
        <v>90</v>
      </c>
    </row>
    <row r="300" spans="1:9">
      <c r="A300" s="5">
        <f t="shared" si="4"/>
        <v>299</v>
      </c>
      <c r="B300" s="6">
        <v>1019453</v>
      </c>
      <c r="C300" s="7">
        <v>69111288</v>
      </c>
      <c r="D300" s="8" t="s">
        <v>387</v>
      </c>
      <c r="E300" s="8" t="s">
        <v>54</v>
      </c>
      <c r="F300" s="8" t="s">
        <v>90</v>
      </c>
      <c r="G300" s="8" t="s">
        <v>90</v>
      </c>
      <c r="H300" s="8" t="s">
        <v>371</v>
      </c>
      <c r="I300" s="8" t="s">
        <v>90</v>
      </c>
    </row>
    <row r="301" spans="1:9">
      <c r="A301" s="5">
        <f t="shared" si="4"/>
        <v>300</v>
      </c>
      <c r="B301" s="6">
        <v>1019537</v>
      </c>
      <c r="C301" s="7">
        <v>69112243</v>
      </c>
      <c r="D301" s="8" t="s">
        <v>388</v>
      </c>
      <c r="E301" s="8" t="s">
        <v>54</v>
      </c>
      <c r="F301" s="8" t="s">
        <v>90</v>
      </c>
      <c r="G301" s="8" t="s">
        <v>90</v>
      </c>
      <c r="H301" s="8" t="s">
        <v>371</v>
      </c>
      <c r="I301" s="8" t="s">
        <v>90</v>
      </c>
    </row>
    <row r="302" spans="1:9">
      <c r="A302" s="5">
        <f t="shared" si="4"/>
        <v>301</v>
      </c>
      <c r="B302" s="6">
        <v>1019046</v>
      </c>
      <c r="C302" s="7">
        <v>69106004</v>
      </c>
      <c r="D302" s="8" t="s">
        <v>389</v>
      </c>
      <c r="E302" s="8" t="s">
        <v>54</v>
      </c>
      <c r="F302" s="8" t="s">
        <v>90</v>
      </c>
      <c r="G302" s="8" t="s">
        <v>90</v>
      </c>
      <c r="H302" s="8" t="s">
        <v>371</v>
      </c>
      <c r="I302" s="8" t="s">
        <v>90</v>
      </c>
    </row>
    <row r="303" spans="1:9">
      <c r="A303" s="5">
        <f t="shared" si="4"/>
        <v>302</v>
      </c>
      <c r="B303" s="6">
        <v>1019636</v>
      </c>
      <c r="C303" s="7">
        <v>69115541</v>
      </c>
      <c r="D303" s="8" t="s">
        <v>390</v>
      </c>
      <c r="E303" s="8" t="s">
        <v>54</v>
      </c>
      <c r="F303" s="8" t="s">
        <v>90</v>
      </c>
      <c r="G303" s="8" t="s">
        <v>90</v>
      </c>
      <c r="H303" s="8" t="s">
        <v>371</v>
      </c>
      <c r="I303" s="8" t="s">
        <v>90</v>
      </c>
    </row>
    <row r="304" spans="1:9">
      <c r="A304" s="5">
        <f t="shared" si="4"/>
        <v>303</v>
      </c>
      <c r="B304" s="6">
        <v>1019163</v>
      </c>
      <c r="C304" s="7">
        <v>69106008</v>
      </c>
      <c r="D304" s="8" t="s">
        <v>391</v>
      </c>
      <c r="E304" s="8" t="s">
        <v>54</v>
      </c>
      <c r="F304" s="8" t="s">
        <v>90</v>
      </c>
      <c r="G304" s="8" t="s">
        <v>90</v>
      </c>
      <c r="H304" s="8" t="s">
        <v>371</v>
      </c>
      <c r="I304" s="8" t="s">
        <v>90</v>
      </c>
    </row>
    <row r="305" spans="1:9">
      <c r="A305" s="5">
        <f t="shared" si="4"/>
        <v>304</v>
      </c>
      <c r="B305" s="6">
        <v>1018616</v>
      </c>
      <c r="C305" s="7">
        <v>69105973</v>
      </c>
      <c r="D305" s="8" t="s">
        <v>392</v>
      </c>
      <c r="E305" s="8" t="s">
        <v>54</v>
      </c>
      <c r="F305" s="8" t="s">
        <v>90</v>
      </c>
      <c r="G305" s="8" t="s">
        <v>90</v>
      </c>
      <c r="H305" s="8" t="s">
        <v>371</v>
      </c>
      <c r="I305" s="8" t="s">
        <v>90</v>
      </c>
    </row>
    <row r="306" spans="1:9">
      <c r="A306" s="5">
        <f t="shared" si="4"/>
        <v>305</v>
      </c>
      <c r="B306" s="6">
        <v>1019671</v>
      </c>
      <c r="C306" s="7">
        <v>69127296</v>
      </c>
      <c r="D306" s="8" t="s">
        <v>393</v>
      </c>
      <c r="E306" s="8" t="s">
        <v>54</v>
      </c>
      <c r="F306" s="8" t="s">
        <v>90</v>
      </c>
      <c r="G306" s="8" t="s">
        <v>90</v>
      </c>
      <c r="H306" s="8" t="s">
        <v>371</v>
      </c>
      <c r="I306" s="8" t="s">
        <v>90</v>
      </c>
    </row>
    <row r="307" spans="1:9">
      <c r="A307" s="5">
        <f t="shared" si="4"/>
        <v>306</v>
      </c>
      <c r="B307" s="6">
        <v>1019047</v>
      </c>
      <c r="C307" s="7">
        <v>69105982</v>
      </c>
      <c r="D307" s="8" t="s">
        <v>394</v>
      </c>
      <c r="E307" s="8" t="s">
        <v>54</v>
      </c>
      <c r="F307" s="8" t="s">
        <v>90</v>
      </c>
      <c r="G307" s="8" t="s">
        <v>90</v>
      </c>
      <c r="H307" s="8" t="s">
        <v>371</v>
      </c>
      <c r="I307" s="8" t="s">
        <v>90</v>
      </c>
    </row>
    <row r="308" spans="1:9">
      <c r="A308" s="5">
        <f t="shared" si="4"/>
        <v>307</v>
      </c>
      <c r="B308" s="6">
        <v>1020968</v>
      </c>
      <c r="C308" s="7" t="s">
        <v>395</v>
      </c>
      <c r="D308" s="8" t="s">
        <v>396</v>
      </c>
      <c r="E308" s="8" t="s">
        <v>54</v>
      </c>
      <c r="F308" s="8" t="s">
        <v>90</v>
      </c>
      <c r="G308" s="8" t="s">
        <v>90</v>
      </c>
      <c r="H308" s="8" t="s">
        <v>371</v>
      </c>
      <c r="I308" s="8" t="s">
        <v>90</v>
      </c>
    </row>
    <row r="309" spans="1:9">
      <c r="A309" s="5">
        <f t="shared" si="4"/>
        <v>308</v>
      </c>
      <c r="B309" s="6">
        <v>1018474</v>
      </c>
      <c r="C309" s="7">
        <v>69148957</v>
      </c>
      <c r="D309" s="8" t="s">
        <v>397</v>
      </c>
      <c r="E309" s="8" t="s">
        <v>54</v>
      </c>
      <c r="F309" s="8" t="s">
        <v>90</v>
      </c>
      <c r="G309" s="8" t="s">
        <v>90</v>
      </c>
      <c r="H309" s="8" t="s">
        <v>371</v>
      </c>
      <c r="I309" s="8" t="s">
        <v>90</v>
      </c>
    </row>
    <row r="310" spans="1:9">
      <c r="A310" s="5">
        <f t="shared" si="4"/>
        <v>309</v>
      </c>
      <c r="B310" s="6">
        <v>1021020</v>
      </c>
      <c r="C310" s="7">
        <v>69149180</v>
      </c>
      <c r="D310" s="8" t="s">
        <v>398</v>
      </c>
      <c r="E310" s="8" t="s">
        <v>54</v>
      </c>
      <c r="F310" s="8" t="s">
        <v>90</v>
      </c>
      <c r="G310" s="8" t="s">
        <v>90</v>
      </c>
      <c r="H310" s="8" t="s">
        <v>371</v>
      </c>
      <c r="I310" s="8" t="s">
        <v>90</v>
      </c>
    </row>
    <row r="311" spans="1:9">
      <c r="A311" s="5">
        <f t="shared" si="4"/>
        <v>310</v>
      </c>
      <c r="B311" s="6">
        <v>1021018</v>
      </c>
      <c r="C311" s="7">
        <v>69149182</v>
      </c>
      <c r="D311" s="8" t="s">
        <v>399</v>
      </c>
      <c r="E311" s="8" t="s">
        <v>54</v>
      </c>
      <c r="F311" s="8" t="s">
        <v>90</v>
      </c>
      <c r="G311" s="8" t="s">
        <v>90</v>
      </c>
      <c r="H311" s="8" t="s">
        <v>371</v>
      </c>
      <c r="I311" s="8" t="s">
        <v>90</v>
      </c>
    </row>
    <row r="312" spans="1:9">
      <c r="A312" s="5">
        <f t="shared" si="4"/>
        <v>311</v>
      </c>
      <c r="B312" s="6">
        <v>1021019</v>
      </c>
      <c r="C312" s="7">
        <v>69149056</v>
      </c>
      <c r="D312" s="8" t="s">
        <v>400</v>
      </c>
      <c r="E312" s="8" t="s">
        <v>54</v>
      </c>
      <c r="F312" s="8" t="s">
        <v>90</v>
      </c>
      <c r="G312" s="8" t="s">
        <v>90</v>
      </c>
      <c r="H312" s="8" t="s">
        <v>371</v>
      </c>
      <c r="I312" s="8" t="s">
        <v>90</v>
      </c>
    </row>
    <row r="313" spans="1:9">
      <c r="A313" s="5">
        <f t="shared" si="4"/>
        <v>312</v>
      </c>
      <c r="B313" s="6">
        <v>1021017</v>
      </c>
      <c r="C313" s="7">
        <v>69149131</v>
      </c>
      <c r="D313" s="8" t="s">
        <v>401</v>
      </c>
      <c r="E313" s="8" t="s">
        <v>54</v>
      </c>
      <c r="F313" s="8" t="s">
        <v>90</v>
      </c>
      <c r="G313" s="8" t="s">
        <v>90</v>
      </c>
      <c r="H313" s="8" t="s">
        <v>371</v>
      </c>
      <c r="I313" s="8" t="s">
        <v>90</v>
      </c>
    </row>
    <row r="314" spans="1:9">
      <c r="A314" s="5">
        <f t="shared" si="4"/>
        <v>313</v>
      </c>
      <c r="B314" s="6">
        <v>1021012</v>
      </c>
      <c r="C314" s="7">
        <v>69149055</v>
      </c>
      <c r="D314" s="8" t="s">
        <v>402</v>
      </c>
      <c r="E314" s="8" t="s">
        <v>54</v>
      </c>
      <c r="F314" s="8" t="s">
        <v>90</v>
      </c>
      <c r="G314" s="8" t="s">
        <v>90</v>
      </c>
      <c r="H314" s="8" t="s">
        <v>371</v>
      </c>
      <c r="I314" s="8" t="s">
        <v>90</v>
      </c>
    </row>
    <row r="315" spans="1:9">
      <c r="A315" s="5">
        <f t="shared" si="4"/>
        <v>314</v>
      </c>
      <c r="B315" s="6">
        <v>1021060</v>
      </c>
      <c r="C315" s="7">
        <v>69150060</v>
      </c>
      <c r="D315" s="8" t="s">
        <v>403</v>
      </c>
      <c r="E315" s="8" t="s">
        <v>54</v>
      </c>
      <c r="F315" s="8" t="s">
        <v>90</v>
      </c>
      <c r="G315" s="8" t="s">
        <v>90</v>
      </c>
      <c r="H315" s="8" t="s">
        <v>371</v>
      </c>
      <c r="I315" s="8" t="s">
        <v>90</v>
      </c>
    </row>
    <row r="316" spans="1:9">
      <c r="A316" s="5">
        <f t="shared" si="4"/>
        <v>315</v>
      </c>
      <c r="B316" s="6">
        <v>1021070</v>
      </c>
      <c r="C316" s="7">
        <v>69108401</v>
      </c>
      <c r="D316" s="8" t="s">
        <v>404</v>
      </c>
      <c r="E316" s="8" t="s">
        <v>54</v>
      </c>
      <c r="F316" s="8" t="s">
        <v>90</v>
      </c>
      <c r="G316" s="8" t="s">
        <v>90</v>
      </c>
      <c r="H316" s="8" t="s">
        <v>371</v>
      </c>
      <c r="I316" s="8" t="s">
        <v>90</v>
      </c>
    </row>
    <row r="317" spans="1:9">
      <c r="A317" s="5">
        <f t="shared" si="4"/>
        <v>316</v>
      </c>
      <c r="B317" s="6">
        <v>1021083</v>
      </c>
      <c r="C317" s="7">
        <v>69138110</v>
      </c>
      <c r="D317" s="8" t="s">
        <v>405</v>
      </c>
      <c r="E317" s="8" t="s">
        <v>54</v>
      </c>
      <c r="F317" s="8" t="s">
        <v>90</v>
      </c>
      <c r="G317" s="8" t="s">
        <v>90</v>
      </c>
      <c r="H317" s="8" t="s">
        <v>371</v>
      </c>
      <c r="I317" s="8" t="s">
        <v>90</v>
      </c>
    </row>
    <row r="318" spans="1:9">
      <c r="A318" s="5">
        <f t="shared" si="4"/>
        <v>317</v>
      </c>
      <c r="B318" s="6">
        <v>1021337</v>
      </c>
      <c r="C318" s="7" t="s">
        <v>406</v>
      </c>
      <c r="D318" s="8" t="s">
        <v>407</v>
      </c>
      <c r="E318" s="8" t="s">
        <v>54</v>
      </c>
      <c r="F318" s="8" t="s">
        <v>90</v>
      </c>
      <c r="G318" s="8" t="s">
        <v>90</v>
      </c>
      <c r="H318" s="8" t="s">
        <v>371</v>
      </c>
      <c r="I318" s="8" t="s">
        <v>90</v>
      </c>
    </row>
    <row r="319" spans="1:9">
      <c r="A319" s="5">
        <f t="shared" si="4"/>
        <v>318</v>
      </c>
      <c r="B319" s="6">
        <v>1021335</v>
      </c>
      <c r="C319" s="7" t="s">
        <v>408</v>
      </c>
      <c r="D319" s="8" t="s">
        <v>409</v>
      </c>
      <c r="E319" s="8" t="s">
        <v>54</v>
      </c>
      <c r="F319" s="8" t="s">
        <v>90</v>
      </c>
      <c r="G319" s="8" t="s">
        <v>90</v>
      </c>
      <c r="H319" s="8" t="s">
        <v>371</v>
      </c>
      <c r="I319" s="8" t="s">
        <v>90</v>
      </c>
    </row>
    <row r="320" spans="1:9">
      <c r="A320" s="5">
        <f t="shared" si="4"/>
        <v>319</v>
      </c>
      <c r="B320" s="6">
        <v>1019745</v>
      </c>
      <c r="C320" s="7">
        <v>69149838</v>
      </c>
      <c r="D320" s="8" t="s">
        <v>410</v>
      </c>
      <c r="E320" s="8" t="s">
        <v>54</v>
      </c>
      <c r="F320" s="8" t="s">
        <v>411</v>
      </c>
      <c r="G320" s="8" t="s">
        <v>411</v>
      </c>
      <c r="H320" s="8" t="s">
        <v>411</v>
      </c>
      <c r="I320" s="8" t="s">
        <v>411</v>
      </c>
    </row>
    <row r="321" spans="1:9">
      <c r="A321" s="5">
        <f t="shared" si="4"/>
        <v>320</v>
      </c>
      <c r="B321" s="6">
        <v>1020929</v>
      </c>
      <c r="C321" s="7">
        <v>69148235</v>
      </c>
      <c r="D321" s="8" t="s">
        <v>412</v>
      </c>
      <c r="E321" s="8" t="s">
        <v>54</v>
      </c>
      <c r="F321" s="8" t="s">
        <v>411</v>
      </c>
      <c r="G321" s="8" t="s">
        <v>411</v>
      </c>
      <c r="H321" s="8" t="s">
        <v>411</v>
      </c>
      <c r="I321" s="8" t="s">
        <v>411</v>
      </c>
    </row>
    <row r="322" spans="1:9">
      <c r="A322" s="5">
        <f t="shared" si="4"/>
        <v>321</v>
      </c>
      <c r="B322" s="6">
        <v>1019750</v>
      </c>
      <c r="C322" s="7">
        <v>69126003</v>
      </c>
      <c r="D322" s="8" t="s">
        <v>413</v>
      </c>
      <c r="E322" s="8" t="s">
        <v>54</v>
      </c>
      <c r="F322" s="8" t="s">
        <v>411</v>
      </c>
      <c r="G322" s="8" t="s">
        <v>411</v>
      </c>
      <c r="H322" s="8" t="s">
        <v>411</v>
      </c>
      <c r="I322" s="8" t="s">
        <v>411</v>
      </c>
    </row>
    <row r="323" spans="1:9">
      <c r="A323" s="5">
        <f t="shared" si="4"/>
        <v>322</v>
      </c>
      <c r="B323" s="6">
        <v>1019801</v>
      </c>
      <c r="C323" s="7">
        <v>69127294</v>
      </c>
      <c r="D323" s="8" t="s">
        <v>414</v>
      </c>
      <c r="E323" s="8" t="s">
        <v>54</v>
      </c>
      <c r="F323" s="8" t="s">
        <v>411</v>
      </c>
      <c r="G323" s="8" t="s">
        <v>411</v>
      </c>
      <c r="H323" s="8" t="s">
        <v>411</v>
      </c>
      <c r="I323" s="8" t="s">
        <v>411</v>
      </c>
    </row>
    <row r="324" spans="1:9">
      <c r="A324" s="5">
        <f t="shared" si="4"/>
        <v>323</v>
      </c>
      <c r="B324" s="6">
        <v>1019848</v>
      </c>
      <c r="C324" s="7">
        <v>69129620</v>
      </c>
      <c r="D324" s="8" t="s">
        <v>415</v>
      </c>
      <c r="E324" s="8" t="s">
        <v>54</v>
      </c>
      <c r="F324" s="8" t="s">
        <v>411</v>
      </c>
      <c r="G324" s="8" t="s">
        <v>411</v>
      </c>
      <c r="H324" s="8" t="s">
        <v>411</v>
      </c>
      <c r="I324" s="8" t="s">
        <v>411</v>
      </c>
    </row>
    <row r="325" spans="1:9">
      <c r="A325" s="5">
        <f t="shared" ref="A325:A388" si="5">A324+1</f>
        <v>324</v>
      </c>
      <c r="B325" s="6">
        <v>1020394</v>
      </c>
      <c r="C325" s="7">
        <v>69140781</v>
      </c>
      <c r="D325" s="8" t="s">
        <v>416</v>
      </c>
      <c r="E325" s="8" t="s">
        <v>54</v>
      </c>
      <c r="F325" s="8" t="s">
        <v>411</v>
      </c>
      <c r="G325" s="8" t="s">
        <v>411</v>
      </c>
      <c r="H325" s="8" t="s">
        <v>411</v>
      </c>
      <c r="I325" s="8" t="s">
        <v>411</v>
      </c>
    </row>
    <row r="326" spans="1:9">
      <c r="A326" s="5">
        <f t="shared" si="5"/>
        <v>325</v>
      </c>
      <c r="B326" s="6">
        <v>1020430</v>
      </c>
      <c r="C326" s="7">
        <v>69141645</v>
      </c>
      <c r="D326" s="8" t="s">
        <v>417</v>
      </c>
      <c r="E326" s="8" t="s">
        <v>54</v>
      </c>
      <c r="F326" s="8" t="s">
        <v>411</v>
      </c>
      <c r="G326" s="8" t="s">
        <v>411</v>
      </c>
      <c r="H326" s="8" t="s">
        <v>411</v>
      </c>
      <c r="I326" s="8" t="s">
        <v>411</v>
      </c>
    </row>
    <row r="327" spans="1:9">
      <c r="A327" s="5">
        <f t="shared" si="5"/>
        <v>326</v>
      </c>
      <c r="B327" s="6">
        <v>1020886</v>
      </c>
      <c r="C327" s="7">
        <v>69148088</v>
      </c>
      <c r="D327" s="8" t="s">
        <v>418</v>
      </c>
      <c r="E327" s="8" t="s">
        <v>54</v>
      </c>
      <c r="F327" s="8" t="s">
        <v>411</v>
      </c>
      <c r="G327" s="8" t="s">
        <v>411</v>
      </c>
      <c r="H327" s="8" t="s">
        <v>411</v>
      </c>
      <c r="I327" s="8" t="s">
        <v>411</v>
      </c>
    </row>
    <row r="328" spans="1:9">
      <c r="A328" s="5">
        <f t="shared" si="5"/>
        <v>327</v>
      </c>
      <c r="B328" s="6">
        <v>1019845</v>
      </c>
      <c r="C328" s="7">
        <v>69146077</v>
      </c>
      <c r="D328" s="8" t="s">
        <v>419</v>
      </c>
      <c r="E328" s="8" t="s">
        <v>54</v>
      </c>
      <c r="F328" s="8" t="s">
        <v>411</v>
      </c>
      <c r="G328" s="8" t="s">
        <v>411</v>
      </c>
      <c r="H328" s="8" t="s">
        <v>411</v>
      </c>
      <c r="I328" s="8" t="s">
        <v>411</v>
      </c>
    </row>
    <row r="329" spans="1:9">
      <c r="A329" s="5">
        <f t="shared" si="5"/>
        <v>328</v>
      </c>
      <c r="B329" s="6">
        <v>1019442</v>
      </c>
      <c r="C329" s="7">
        <v>69131294</v>
      </c>
      <c r="D329" s="8" t="s">
        <v>420</v>
      </c>
      <c r="E329" s="8" t="s">
        <v>54</v>
      </c>
      <c r="F329" s="8" t="s">
        <v>411</v>
      </c>
      <c r="G329" s="8" t="s">
        <v>411</v>
      </c>
      <c r="H329" s="8" t="s">
        <v>411</v>
      </c>
      <c r="I329" s="8" t="s">
        <v>411</v>
      </c>
    </row>
    <row r="330" spans="1:9">
      <c r="A330" s="5">
        <f t="shared" si="5"/>
        <v>329</v>
      </c>
      <c r="B330" s="6">
        <v>1019920</v>
      </c>
      <c r="C330" s="7">
        <v>69130282</v>
      </c>
      <c r="D330" s="8" t="s">
        <v>421</v>
      </c>
      <c r="E330" s="8" t="s">
        <v>54</v>
      </c>
      <c r="F330" s="8" t="s">
        <v>411</v>
      </c>
      <c r="G330" s="8" t="s">
        <v>411</v>
      </c>
      <c r="H330" s="8" t="s">
        <v>411</v>
      </c>
      <c r="I330" s="8" t="s">
        <v>411</v>
      </c>
    </row>
    <row r="331" spans="1:9">
      <c r="A331" s="5">
        <f t="shared" si="5"/>
        <v>330</v>
      </c>
      <c r="B331" s="6">
        <v>1020241</v>
      </c>
      <c r="C331" s="7">
        <v>69138413</v>
      </c>
      <c r="D331" s="8" t="s">
        <v>422</v>
      </c>
      <c r="E331" s="8" t="s">
        <v>54</v>
      </c>
      <c r="F331" s="8" t="s">
        <v>411</v>
      </c>
      <c r="G331" s="8" t="s">
        <v>411</v>
      </c>
      <c r="H331" s="8" t="s">
        <v>411</v>
      </c>
      <c r="I331" s="8" t="s">
        <v>411</v>
      </c>
    </row>
    <row r="332" spans="1:9">
      <c r="A332" s="5">
        <f t="shared" si="5"/>
        <v>331</v>
      </c>
      <c r="B332" s="6">
        <v>1020301</v>
      </c>
      <c r="C332" s="7">
        <v>69138678</v>
      </c>
      <c r="D332" s="9" t="s">
        <v>423</v>
      </c>
      <c r="E332" s="8" t="s">
        <v>54</v>
      </c>
      <c r="F332" s="8" t="s">
        <v>411</v>
      </c>
      <c r="G332" s="8" t="s">
        <v>411</v>
      </c>
      <c r="H332" s="8" t="s">
        <v>411</v>
      </c>
      <c r="I332" s="8" t="s">
        <v>411</v>
      </c>
    </row>
    <row r="333" spans="1:9">
      <c r="A333" s="5">
        <f t="shared" si="5"/>
        <v>332</v>
      </c>
      <c r="B333" s="6">
        <v>1019048</v>
      </c>
      <c r="C333" s="7">
        <v>69106005</v>
      </c>
      <c r="D333" s="8" t="s">
        <v>424</v>
      </c>
      <c r="E333" s="8" t="s">
        <v>54</v>
      </c>
      <c r="F333" s="8" t="s">
        <v>411</v>
      </c>
      <c r="G333" s="8" t="s">
        <v>411</v>
      </c>
      <c r="H333" s="8" t="s">
        <v>411</v>
      </c>
      <c r="I333" s="8" t="s">
        <v>411</v>
      </c>
    </row>
    <row r="334" spans="1:9">
      <c r="A334" s="5">
        <f t="shared" si="5"/>
        <v>333</v>
      </c>
      <c r="B334" s="6">
        <v>1016262</v>
      </c>
      <c r="C334" s="7">
        <v>69105877</v>
      </c>
      <c r="D334" s="8" t="s">
        <v>425</v>
      </c>
      <c r="E334" s="8" t="s">
        <v>54</v>
      </c>
      <c r="F334" s="8" t="s">
        <v>411</v>
      </c>
      <c r="G334" s="8" t="s">
        <v>411</v>
      </c>
      <c r="H334" s="8" t="s">
        <v>411</v>
      </c>
      <c r="I334" s="8" t="s">
        <v>411</v>
      </c>
    </row>
    <row r="335" spans="1:9">
      <c r="A335" s="5">
        <f t="shared" si="5"/>
        <v>334</v>
      </c>
      <c r="B335" s="6">
        <v>1019705</v>
      </c>
      <c r="C335" s="7">
        <v>69137835</v>
      </c>
      <c r="D335" s="8" t="s">
        <v>426</v>
      </c>
      <c r="E335" s="8" t="s">
        <v>54</v>
      </c>
      <c r="F335" s="8" t="s">
        <v>411</v>
      </c>
      <c r="G335" s="8" t="s">
        <v>411</v>
      </c>
      <c r="H335" s="8" t="s">
        <v>411</v>
      </c>
      <c r="I335" s="8" t="s">
        <v>411</v>
      </c>
    </row>
    <row r="336" spans="1:9">
      <c r="A336" s="5">
        <f t="shared" si="5"/>
        <v>335</v>
      </c>
      <c r="B336" s="6">
        <v>1019913</v>
      </c>
      <c r="C336" s="7">
        <v>69133837</v>
      </c>
      <c r="D336" s="8" t="s">
        <v>427</v>
      </c>
      <c r="E336" s="8" t="s">
        <v>54</v>
      </c>
      <c r="F336" s="8" t="s">
        <v>411</v>
      </c>
      <c r="G336" s="8" t="s">
        <v>411</v>
      </c>
      <c r="H336" s="8" t="s">
        <v>411</v>
      </c>
      <c r="I336" s="8" t="s">
        <v>411</v>
      </c>
    </row>
    <row r="337" spans="1:9">
      <c r="A337" s="5">
        <f t="shared" si="5"/>
        <v>336</v>
      </c>
      <c r="B337" s="6">
        <v>1021530</v>
      </c>
      <c r="C337" s="7">
        <v>0</v>
      </c>
      <c r="D337" s="8" t="s">
        <v>428</v>
      </c>
      <c r="E337" s="8" t="s">
        <v>54</v>
      </c>
      <c r="F337" s="8" t="s">
        <v>411</v>
      </c>
      <c r="G337" s="8" t="s">
        <v>411</v>
      </c>
      <c r="H337" s="8" t="s">
        <v>411</v>
      </c>
      <c r="I337" s="8" t="s">
        <v>411</v>
      </c>
    </row>
    <row r="338" spans="1:9">
      <c r="A338" s="5">
        <f t="shared" si="5"/>
        <v>337</v>
      </c>
      <c r="B338" s="6">
        <v>1020118</v>
      </c>
      <c r="C338" s="7">
        <v>69133709</v>
      </c>
      <c r="D338" s="8" t="s">
        <v>429</v>
      </c>
      <c r="E338" s="8" t="s">
        <v>54</v>
      </c>
      <c r="F338" s="8" t="s">
        <v>159</v>
      </c>
      <c r="G338" s="8" t="s">
        <v>159</v>
      </c>
      <c r="H338" s="8" t="s">
        <v>159</v>
      </c>
      <c r="I338" s="8" t="s">
        <v>159</v>
      </c>
    </row>
    <row r="339" spans="1:9">
      <c r="A339" s="5">
        <f t="shared" si="5"/>
        <v>338</v>
      </c>
      <c r="B339" s="6">
        <v>1020159</v>
      </c>
      <c r="C339" s="7">
        <v>69134462</v>
      </c>
      <c r="D339" s="8" t="s">
        <v>430</v>
      </c>
      <c r="E339" s="8" t="s">
        <v>54</v>
      </c>
      <c r="F339" s="8" t="s">
        <v>159</v>
      </c>
      <c r="G339" s="8" t="s">
        <v>159</v>
      </c>
      <c r="H339" s="8" t="s">
        <v>159</v>
      </c>
      <c r="I339" s="8" t="s">
        <v>159</v>
      </c>
    </row>
    <row r="340" spans="1:9">
      <c r="A340" s="5">
        <f t="shared" si="5"/>
        <v>339</v>
      </c>
      <c r="B340" s="6">
        <v>1020268</v>
      </c>
      <c r="C340" s="7">
        <v>69135600</v>
      </c>
      <c r="D340" s="8" t="s">
        <v>431</v>
      </c>
      <c r="E340" s="8" t="s">
        <v>54</v>
      </c>
      <c r="F340" s="8" t="s">
        <v>159</v>
      </c>
      <c r="G340" s="8" t="s">
        <v>159</v>
      </c>
      <c r="H340" s="8" t="s">
        <v>159</v>
      </c>
      <c r="I340" s="8" t="s">
        <v>159</v>
      </c>
    </row>
    <row r="341" spans="1:9">
      <c r="A341" s="5">
        <f t="shared" si="5"/>
        <v>340</v>
      </c>
      <c r="B341" s="6">
        <v>1020417</v>
      </c>
      <c r="C341" s="7">
        <v>69140612</v>
      </c>
      <c r="D341" s="8" t="s">
        <v>432</v>
      </c>
      <c r="E341" s="8" t="s">
        <v>54</v>
      </c>
      <c r="F341" s="14" t="s">
        <v>433</v>
      </c>
      <c r="G341" s="14" t="s">
        <v>434</v>
      </c>
      <c r="H341" s="14" t="s">
        <v>433</v>
      </c>
      <c r="I341" s="14" t="s">
        <v>433</v>
      </c>
    </row>
    <row r="342" spans="1:9">
      <c r="A342" s="5">
        <f t="shared" si="5"/>
        <v>341</v>
      </c>
      <c r="B342" s="6">
        <v>1020402</v>
      </c>
      <c r="C342" s="7">
        <v>69140844</v>
      </c>
      <c r="D342" s="8" t="s">
        <v>435</v>
      </c>
      <c r="E342" s="8" t="s">
        <v>54</v>
      </c>
      <c r="F342" s="8" t="s">
        <v>159</v>
      </c>
      <c r="G342" s="8" t="s">
        <v>159</v>
      </c>
      <c r="H342" s="8" t="s">
        <v>159</v>
      </c>
      <c r="I342" s="8" t="s">
        <v>159</v>
      </c>
    </row>
    <row r="343" spans="1:9">
      <c r="A343" s="5">
        <f t="shared" si="5"/>
        <v>342</v>
      </c>
      <c r="B343" s="6">
        <v>1020429</v>
      </c>
      <c r="C343" s="7">
        <v>69141349</v>
      </c>
      <c r="D343" s="8" t="s">
        <v>436</v>
      </c>
      <c r="E343" s="8" t="s">
        <v>54</v>
      </c>
      <c r="F343" s="8" t="s">
        <v>159</v>
      </c>
      <c r="G343" s="8" t="s">
        <v>159</v>
      </c>
      <c r="H343" s="8" t="s">
        <v>159</v>
      </c>
      <c r="I343" s="8" t="s">
        <v>159</v>
      </c>
    </row>
    <row r="344" spans="1:9">
      <c r="A344" s="5">
        <f t="shared" si="5"/>
        <v>343</v>
      </c>
      <c r="B344" s="6">
        <v>1020569</v>
      </c>
      <c r="C344" s="7">
        <v>69143063</v>
      </c>
      <c r="D344" s="8" t="s">
        <v>437</v>
      </c>
      <c r="E344" s="8" t="s">
        <v>54</v>
      </c>
      <c r="F344" s="8" t="s">
        <v>159</v>
      </c>
      <c r="G344" s="8" t="s">
        <v>159</v>
      </c>
      <c r="H344" s="8" t="s">
        <v>159</v>
      </c>
      <c r="I344" s="8" t="s">
        <v>159</v>
      </c>
    </row>
    <row r="345" spans="1:9">
      <c r="A345" s="5">
        <f t="shared" si="5"/>
        <v>344</v>
      </c>
      <c r="B345" s="6">
        <v>1019385</v>
      </c>
      <c r="C345" s="7">
        <v>69109206</v>
      </c>
      <c r="D345" s="8" t="s">
        <v>438</v>
      </c>
      <c r="E345" s="8" t="s">
        <v>54</v>
      </c>
      <c r="F345" s="8" t="s">
        <v>439</v>
      </c>
      <c r="G345" s="8" t="s">
        <v>439</v>
      </c>
      <c r="H345" s="8" t="s">
        <v>439</v>
      </c>
      <c r="I345" s="8" t="s">
        <v>439</v>
      </c>
    </row>
    <row r="346" spans="1:9">
      <c r="A346" s="5">
        <f t="shared" si="5"/>
        <v>345</v>
      </c>
      <c r="B346" s="6">
        <v>1021277</v>
      </c>
      <c r="C346" s="7">
        <v>69139135</v>
      </c>
      <c r="D346" s="8" t="s">
        <v>440</v>
      </c>
      <c r="E346" s="8" t="s">
        <v>54</v>
      </c>
      <c r="F346" s="8" t="s">
        <v>439</v>
      </c>
      <c r="G346" s="8" t="s">
        <v>439</v>
      </c>
      <c r="H346" s="8" t="s">
        <v>439</v>
      </c>
      <c r="I346" s="8" t="s">
        <v>439</v>
      </c>
    </row>
    <row r="347" spans="1:9">
      <c r="A347" s="5">
        <f t="shared" si="5"/>
        <v>346</v>
      </c>
      <c r="B347" s="6">
        <v>1019037</v>
      </c>
      <c r="C347" s="7">
        <v>61362389</v>
      </c>
      <c r="D347" s="8" t="s">
        <v>441</v>
      </c>
      <c r="E347" s="8" t="s">
        <v>54</v>
      </c>
      <c r="F347" s="8" t="s">
        <v>180</v>
      </c>
      <c r="G347" s="8" t="s">
        <v>180</v>
      </c>
      <c r="H347" s="8" t="s">
        <v>180</v>
      </c>
      <c r="I347" s="8" t="s">
        <v>180</v>
      </c>
    </row>
    <row r="348" spans="1:9">
      <c r="A348" s="5">
        <f t="shared" si="5"/>
        <v>347</v>
      </c>
      <c r="B348" s="6">
        <v>1005164</v>
      </c>
      <c r="C348" s="7">
        <v>69098524</v>
      </c>
      <c r="D348" s="8" t="s">
        <v>442</v>
      </c>
      <c r="E348" s="8" t="s">
        <v>54</v>
      </c>
      <c r="F348" s="8" t="s">
        <v>180</v>
      </c>
      <c r="G348" s="8" t="s">
        <v>180</v>
      </c>
      <c r="H348" s="8" t="s">
        <v>180</v>
      </c>
      <c r="I348" s="8" t="s">
        <v>180</v>
      </c>
    </row>
    <row r="349" spans="1:9">
      <c r="A349" s="5">
        <f t="shared" si="5"/>
        <v>348</v>
      </c>
      <c r="B349" s="6">
        <v>1018816</v>
      </c>
      <c r="C349" s="7">
        <v>62008351</v>
      </c>
      <c r="D349" s="9" t="s">
        <v>443</v>
      </c>
      <c r="E349" s="8" t="s">
        <v>54</v>
      </c>
      <c r="F349" s="8" t="s">
        <v>180</v>
      </c>
      <c r="G349" s="8" t="s">
        <v>180</v>
      </c>
      <c r="H349" s="8" t="s">
        <v>180</v>
      </c>
      <c r="I349" s="8" t="s">
        <v>180</v>
      </c>
    </row>
    <row r="350" spans="1:9">
      <c r="A350" s="5">
        <f t="shared" si="5"/>
        <v>349</v>
      </c>
      <c r="B350" s="6">
        <v>1018819</v>
      </c>
      <c r="C350" s="7">
        <v>69097983</v>
      </c>
      <c r="D350" s="9" t="s">
        <v>444</v>
      </c>
      <c r="E350" s="8" t="s">
        <v>54</v>
      </c>
      <c r="F350" s="8" t="s">
        <v>180</v>
      </c>
      <c r="G350" s="8" t="s">
        <v>180</v>
      </c>
      <c r="H350" s="8" t="s">
        <v>180</v>
      </c>
      <c r="I350" s="8" t="s">
        <v>180</v>
      </c>
    </row>
    <row r="351" spans="1:9">
      <c r="A351" s="5">
        <f t="shared" si="5"/>
        <v>350</v>
      </c>
      <c r="B351" s="6">
        <v>1018836</v>
      </c>
      <c r="C351" s="7">
        <v>69097984</v>
      </c>
      <c r="D351" s="8" t="s">
        <v>445</v>
      </c>
      <c r="E351" s="8" t="s">
        <v>54</v>
      </c>
      <c r="F351" s="8" t="s">
        <v>180</v>
      </c>
      <c r="G351" s="8" t="s">
        <v>180</v>
      </c>
      <c r="H351" s="8" t="s">
        <v>180</v>
      </c>
      <c r="I351" s="8" t="s">
        <v>180</v>
      </c>
    </row>
    <row r="352" spans="1:9">
      <c r="A352" s="5">
        <f t="shared" si="5"/>
        <v>351</v>
      </c>
      <c r="B352" s="6">
        <v>1019099</v>
      </c>
      <c r="C352" s="7">
        <v>69103060</v>
      </c>
      <c r="D352" s="8" t="s">
        <v>446</v>
      </c>
      <c r="E352" s="8" t="s">
        <v>54</v>
      </c>
      <c r="F352" s="8" t="s">
        <v>180</v>
      </c>
      <c r="G352" s="8" t="s">
        <v>180</v>
      </c>
      <c r="H352" s="8" t="s">
        <v>180</v>
      </c>
      <c r="I352" s="8" t="s">
        <v>180</v>
      </c>
    </row>
    <row r="353" spans="1:9">
      <c r="A353" s="5">
        <f t="shared" si="5"/>
        <v>352</v>
      </c>
      <c r="B353" s="6">
        <v>1019153</v>
      </c>
      <c r="C353" s="7">
        <v>69103495</v>
      </c>
      <c r="D353" s="8" t="s">
        <v>447</v>
      </c>
      <c r="E353" s="8" t="s">
        <v>54</v>
      </c>
      <c r="F353" s="8" t="s">
        <v>180</v>
      </c>
      <c r="G353" s="8" t="s">
        <v>180</v>
      </c>
      <c r="H353" s="8" t="s">
        <v>180</v>
      </c>
      <c r="I353" s="8" t="s">
        <v>180</v>
      </c>
    </row>
    <row r="354" spans="1:9">
      <c r="A354" s="5">
        <f t="shared" si="5"/>
        <v>353</v>
      </c>
      <c r="B354" s="6">
        <v>1019178</v>
      </c>
      <c r="C354" s="7">
        <v>69103955</v>
      </c>
      <c r="D354" s="8" t="s">
        <v>448</v>
      </c>
      <c r="E354" s="8" t="s">
        <v>54</v>
      </c>
      <c r="F354" s="8" t="s">
        <v>180</v>
      </c>
      <c r="G354" s="8" t="s">
        <v>180</v>
      </c>
      <c r="H354" s="8" t="s">
        <v>180</v>
      </c>
      <c r="I354" s="8" t="s">
        <v>180</v>
      </c>
    </row>
    <row r="355" spans="1:9">
      <c r="A355" s="5">
        <f t="shared" si="5"/>
        <v>354</v>
      </c>
      <c r="B355" s="6">
        <v>1019242</v>
      </c>
      <c r="C355" s="7">
        <v>69105925</v>
      </c>
      <c r="D355" s="8" t="s">
        <v>449</v>
      </c>
      <c r="E355" s="8" t="s">
        <v>54</v>
      </c>
      <c r="F355" s="8" t="s">
        <v>180</v>
      </c>
      <c r="G355" s="8" t="s">
        <v>180</v>
      </c>
      <c r="H355" s="8" t="s">
        <v>180</v>
      </c>
      <c r="I355" s="8" t="s">
        <v>180</v>
      </c>
    </row>
    <row r="356" spans="1:9">
      <c r="A356" s="5">
        <f t="shared" si="5"/>
        <v>355</v>
      </c>
      <c r="B356" s="6">
        <v>1019429</v>
      </c>
      <c r="C356" s="7">
        <v>69109595</v>
      </c>
      <c r="D356" s="8" t="s">
        <v>450</v>
      </c>
      <c r="E356" s="8" t="s">
        <v>54</v>
      </c>
      <c r="F356" s="8" t="s">
        <v>180</v>
      </c>
      <c r="G356" s="8" t="s">
        <v>180</v>
      </c>
      <c r="H356" s="8" t="s">
        <v>180</v>
      </c>
      <c r="I356" s="8" t="s">
        <v>180</v>
      </c>
    </row>
    <row r="357" spans="1:9">
      <c r="A357" s="5">
        <f t="shared" si="5"/>
        <v>356</v>
      </c>
      <c r="B357" s="6">
        <v>1019458</v>
      </c>
      <c r="C357" s="7">
        <v>69110496</v>
      </c>
      <c r="D357" s="8" t="s">
        <v>451</v>
      </c>
      <c r="E357" s="8" t="s">
        <v>54</v>
      </c>
      <c r="F357" s="8" t="s">
        <v>180</v>
      </c>
      <c r="G357" s="8" t="s">
        <v>180</v>
      </c>
      <c r="H357" s="8" t="s">
        <v>180</v>
      </c>
      <c r="I357" s="8" t="s">
        <v>180</v>
      </c>
    </row>
    <row r="358" spans="1:9">
      <c r="A358" s="5">
        <f t="shared" si="5"/>
        <v>357</v>
      </c>
      <c r="B358" s="6">
        <v>1019474</v>
      </c>
      <c r="C358" s="7">
        <v>69110902</v>
      </c>
      <c r="D358" s="8" t="s">
        <v>452</v>
      </c>
      <c r="E358" s="8" t="s">
        <v>54</v>
      </c>
      <c r="F358" s="8" t="s">
        <v>180</v>
      </c>
      <c r="G358" s="8" t="s">
        <v>180</v>
      </c>
      <c r="H358" s="8" t="s">
        <v>180</v>
      </c>
      <c r="I358" s="8" t="s">
        <v>180</v>
      </c>
    </row>
    <row r="359" spans="1:9">
      <c r="A359" s="5">
        <f t="shared" si="5"/>
        <v>358</v>
      </c>
      <c r="B359" s="6">
        <v>1019460</v>
      </c>
      <c r="C359" s="7">
        <v>69115322</v>
      </c>
      <c r="D359" s="8" t="s">
        <v>453</v>
      </c>
      <c r="E359" s="8" t="s">
        <v>54</v>
      </c>
      <c r="F359" s="8" t="s">
        <v>180</v>
      </c>
      <c r="G359" s="8" t="s">
        <v>180</v>
      </c>
      <c r="H359" s="8" t="s">
        <v>180</v>
      </c>
      <c r="I359" s="8" t="s">
        <v>180</v>
      </c>
    </row>
    <row r="360" spans="1:9">
      <c r="A360" s="5">
        <f t="shared" si="5"/>
        <v>359</v>
      </c>
      <c r="B360" s="6">
        <v>1019535</v>
      </c>
      <c r="C360" s="7">
        <v>69125604</v>
      </c>
      <c r="D360" s="8" t="s">
        <v>454</v>
      </c>
      <c r="E360" s="8" t="s">
        <v>54</v>
      </c>
      <c r="F360" s="8" t="s">
        <v>180</v>
      </c>
      <c r="G360" s="8" t="s">
        <v>180</v>
      </c>
      <c r="H360" s="8" t="s">
        <v>180</v>
      </c>
      <c r="I360" s="8" t="s">
        <v>180</v>
      </c>
    </row>
    <row r="361" spans="1:9">
      <c r="A361" s="5">
        <f t="shared" si="5"/>
        <v>360</v>
      </c>
      <c r="B361" s="6">
        <v>1019465</v>
      </c>
      <c r="C361" s="7">
        <v>69110497</v>
      </c>
      <c r="D361" s="8" t="s">
        <v>455</v>
      </c>
      <c r="E361" s="8" t="s">
        <v>54</v>
      </c>
      <c r="F361" s="8" t="s">
        <v>180</v>
      </c>
      <c r="G361" s="8" t="s">
        <v>180</v>
      </c>
      <c r="H361" s="8" t="s">
        <v>180</v>
      </c>
      <c r="I361" s="8" t="s">
        <v>180</v>
      </c>
    </row>
    <row r="362" spans="1:9">
      <c r="A362" s="5">
        <f t="shared" si="5"/>
        <v>361</v>
      </c>
      <c r="B362" s="6">
        <v>1019608</v>
      </c>
      <c r="C362" s="7">
        <v>69113364</v>
      </c>
      <c r="D362" s="8" t="s">
        <v>456</v>
      </c>
      <c r="E362" s="8" t="s">
        <v>54</v>
      </c>
      <c r="F362" s="8" t="s">
        <v>180</v>
      </c>
      <c r="G362" s="8" t="s">
        <v>180</v>
      </c>
      <c r="H362" s="8" t="s">
        <v>180</v>
      </c>
      <c r="I362" s="8" t="s">
        <v>180</v>
      </c>
    </row>
    <row r="363" spans="1:9">
      <c r="A363" s="5">
        <f t="shared" si="5"/>
        <v>362</v>
      </c>
      <c r="B363" s="6">
        <v>1019592</v>
      </c>
      <c r="C363" s="7">
        <v>69112669</v>
      </c>
      <c r="D363" s="8" t="s">
        <v>457</v>
      </c>
      <c r="E363" s="8" t="s">
        <v>54</v>
      </c>
      <c r="F363" s="8" t="s">
        <v>180</v>
      </c>
      <c r="G363" s="8" t="s">
        <v>180</v>
      </c>
      <c r="H363" s="8" t="s">
        <v>180</v>
      </c>
      <c r="I363" s="8" t="s">
        <v>180</v>
      </c>
    </row>
    <row r="364" spans="1:9">
      <c r="A364" s="5">
        <f t="shared" si="5"/>
        <v>363</v>
      </c>
      <c r="B364" s="6">
        <v>1019859</v>
      </c>
      <c r="C364" s="7">
        <v>69128069</v>
      </c>
      <c r="D364" s="8" t="s">
        <v>458</v>
      </c>
      <c r="E364" s="8" t="s">
        <v>54</v>
      </c>
      <c r="F364" s="8" t="s">
        <v>180</v>
      </c>
      <c r="G364" s="8" t="s">
        <v>180</v>
      </c>
      <c r="H364" s="8" t="s">
        <v>180</v>
      </c>
      <c r="I364" s="8" t="s">
        <v>180</v>
      </c>
    </row>
    <row r="365" spans="1:9">
      <c r="A365" s="5">
        <f t="shared" si="5"/>
        <v>364</v>
      </c>
      <c r="B365" s="6">
        <v>1020019</v>
      </c>
      <c r="C365" s="7">
        <v>69131658</v>
      </c>
      <c r="D365" s="8" t="s">
        <v>459</v>
      </c>
      <c r="E365" s="8" t="s">
        <v>54</v>
      </c>
      <c r="F365" s="8" t="s">
        <v>180</v>
      </c>
      <c r="G365" s="8" t="s">
        <v>180</v>
      </c>
      <c r="H365" s="8" t="s">
        <v>180</v>
      </c>
      <c r="I365" s="8" t="s">
        <v>180</v>
      </c>
    </row>
    <row r="366" spans="1:9">
      <c r="A366" s="5">
        <f t="shared" si="5"/>
        <v>365</v>
      </c>
      <c r="B366" s="6">
        <v>1020167</v>
      </c>
      <c r="C366" s="7">
        <v>69134340</v>
      </c>
      <c r="D366" s="8" t="s">
        <v>460</v>
      </c>
      <c r="E366" s="8" t="s">
        <v>54</v>
      </c>
      <c r="F366" s="8" t="s">
        <v>180</v>
      </c>
      <c r="G366" s="8" t="s">
        <v>180</v>
      </c>
      <c r="H366" s="8" t="s">
        <v>180</v>
      </c>
      <c r="I366" s="8" t="s">
        <v>180</v>
      </c>
    </row>
    <row r="367" spans="1:9">
      <c r="A367" s="5">
        <f t="shared" si="5"/>
        <v>366</v>
      </c>
      <c r="B367" s="6">
        <v>1020211</v>
      </c>
      <c r="C367" s="7">
        <v>69134725</v>
      </c>
      <c r="D367" s="8" t="s">
        <v>461</v>
      </c>
      <c r="E367" s="8" t="s">
        <v>54</v>
      </c>
      <c r="F367" s="8" t="s">
        <v>180</v>
      </c>
      <c r="G367" s="8" t="s">
        <v>180</v>
      </c>
      <c r="H367" s="8" t="s">
        <v>180</v>
      </c>
      <c r="I367" s="8" t="s">
        <v>180</v>
      </c>
    </row>
    <row r="368" spans="1:9">
      <c r="A368" s="5">
        <f t="shared" si="5"/>
        <v>367</v>
      </c>
      <c r="B368" s="6">
        <v>1020295</v>
      </c>
      <c r="C368" s="7">
        <v>69138402</v>
      </c>
      <c r="D368" s="8" t="s">
        <v>462</v>
      </c>
      <c r="E368" s="8" t="s">
        <v>54</v>
      </c>
      <c r="F368" s="8" t="s">
        <v>180</v>
      </c>
      <c r="G368" s="8" t="s">
        <v>180</v>
      </c>
      <c r="H368" s="8" t="s">
        <v>180</v>
      </c>
      <c r="I368" s="8" t="s">
        <v>180</v>
      </c>
    </row>
    <row r="369" spans="1:9">
      <c r="A369" s="5">
        <f t="shared" si="5"/>
        <v>368</v>
      </c>
      <c r="B369" s="6">
        <v>1020340</v>
      </c>
      <c r="C369" s="7">
        <v>69139606</v>
      </c>
      <c r="D369" s="8" t="s">
        <v>463</v>
      </c>
      <c r="E369" s="8" t="s">
        <v>54</v>
      </c>
      <c r="F369" s="8" t="s">
        <v>180</v>
      </c>
      <c r="G369" s="8" t="s">
        <v>180</v>
      </c>
      <c r="H369" s="8" t="s">
        <v>180</v>
      </c>
      <c r="I369" s="8" t="s">
        <v>180</v>
      </c>
    </row>
    <row r="370" spans="1:9">
      <c r="A370" s="5">
        <f t="shared" si="5"/>
        <v>369</v>
      </c>
      <c r="B370" s="6">
        <v>1020363</v>
      </c>
      <c r="C370" s="7">
        <v>69140261</v>
      </c>
      <c r="D370" s="8" t="s">
        <v>464</v>
      </c>
      <c r="E370" s="8" t="s">
        <v>54</v>
      </c>
      <c r="F370" s="8" t="s">
        <v>180</v>
      </c>
      <c r="G370" s="8" t="s">
        <v>180</v>
      </c>
      <c r="H370" s="8" t="s">
        <v>180</v>
      </c>
      <c r="I370" s="8" t="s">
        <v>180</v>
      </c>
    </row>
    <row r="371" spans="1:9">
      <c r="A371" s="5">
        <f t="shared" si="5"/>
        <v>370</v>
      </c>
      <c r="B371" s="6">
        <v>1020362</v>
      </c>
      <c r="C371" s="7">
        <v>69139607</v>
      </c>
      <c r="D371" s="8" t="s">
        <v>465</v>
      </c>
      <c r="E371" s="8" t="s">
        <v>54</v>
      </c>
      <c r="F371" s="8" t="s">
        <v>180</v>
      </c>
      <c r="G371" s="8" t="s">
        <v>180</v>
      </c>
      <c r="H371" s="8" t="s">
        <v>180</v>
      </c>
      <c r="I371" s="8" t="s">
        <v>180</v>
      </c>
    </row>
    <row r="372" spans="1:9">
      <c r="A372" s="5">
        <f t="shared" si="5"/>
        <v>371</v>
      </c>
      <c r="B372" s="15">
        <v>1019586</v>
      </c>
      <c r="C372" s="16"/>
      <c r="D372" s="5" t="s">
        <v>466</v>
      </c>
      <c r="E372" s="8" t="s">
        <v>54</v>
      </c>
      <c r="F372" s="8" t="s">
        <v>240</v>
      </c>
      <c r="G372" s="8" t="s">
        <v>240</v>
      </c>
      <c r="H372" s="8" t="s">
        <v>291</v>
      </c>
      <c r="I372" s="8" t="s">
        <v>240</v>
      </c>
    </row>
    <row r="373" spans="1:9">
      <c r="A373" s="5">
        <f t="shared" si="5"/>
        <v>372</v>
      </c>
      <c r="B373" s="6">
        <v>1021094</v>
      </c>
      <c r="C373" s="7"/>
      <c r="D373" s="8" t="s">
        <v>467</v>
      </c>
      <c r="E373" s="8" t="s">
        <v>54</v>
      </c>
      <c r="F373" s="8" t="s">
        <v>163</v>
      </c>
      <c r="G373" s="8" t="s">
        <v>163</v>
      </c>
      <c r="H373" s="8" t="s">
        <v>163</v>
      </c>
      <c r="I373" s="8" t="s">
        <v>70</v>
      </c>
    </row>
    <row r="374" spans="1:9">
      <c r="A374" s="5">
        <f t="shared" si="5"/>
        <v>373</v>
      </c>
      <c r="B374" s="6">
        <v>1021735</v>
      </c>
      <c r="C374" s="7"/>
      <c r="D374" s="8" t="s">
        <v>468</v>
      </c>
      <c r="E374" s="8" t="s">
        <v>54</v>
      </c>
      <c r="F374" s="8" t="s">
        <v>232</v>
      </c>
      <c r="G374" s="8" t="s">
        <v>232</v>
      </c>
      <c r="H374" s="8" t="s">
        <v>439</v>
      </c>
      <c r="I374" s="8" t="s">
        <v>439</v>
      </c>
    </row>
    <row r="375" spans="1:9">
      <c r="A375" s="5">
        <f t="shared" si="5"/>
        <v>374</v>
      </c>
      <c r="B375" s="6">
        <v>1021779</v>
      </c>
      <c r="C375" s="7"/>
      <c r="D375" s="8" t="s">
        <v>469</v>
      </c>
      <c r="E375" s="8" t="s">
        <v>54</v>
      </c>
      <c r="F375" s="8" t="s">
        <v>110</v>
      </c>
      <c r="G375" s="8" t="s">
        <v>110</v>
      </c>
      <c r="H375" s="8" t="s">
        <v>110</v>
      </c>
      <c r="I375" s="8" t="s">
        <v>110</v>
      </c>
    </row>
    <row r="376" spans="1:9">
      <c r="A376" s="5">
        <f t="shared" si="5"/>
        <v>375</v>
      </c>
      <c r="B376" s="6">
        <v>1021514</v>
      </c>
      <c r="C376" s="7" t="e">
        <v>#N/A</v>
      </c>
      <c r="D376" s="8" t="s">
        <v>470</v>
      </c>
      <c r="E376" s="8" t="s">
        <v>54</v>
      </c>
      <c r="F376" s="8" t="s">
        <v>180</v>
      </c>
      <c r="G376" s="8" t="s">
        <v>180</v>
      </c>
      <c r="H376" s="8" t="s">
        <v>180</v>
      </c>
      <c r="I376" s="8" t="s">
        <v>180</v>
      </c>
    </row>
    <row r="377" spans="1:9">
      <c r="A377" s="5">
        <f t="shared" si="5"/>
        <v>376</v>
      </c>
      <c r="B377" s="6">
        <v>1021554</v>
      </c>
      <c r="C377" s="17">
        <v>69155713</v>
      </c>
      <c r="D377" s="8" t="s">
        <v>471</v>
      </c>
      <c r="E377" s="8" t="s">
        <v>54</v>
      </c>
      <c r="F377" s="8" t="s">
        <v>180</v>
      </c>
      <c r="G377" s="8" t="s">
        <v>315</v>
      </c>
      <c r="H377" s="8" t="s">
        <v>180</v>
      </c>
      <c r="I377" s="8" t="s">
        <v>180</v>
      </c>
    </row>
    <row r="378" spans="1:9">
      <c r="A378" s="5">
        <f t="shared" si="5"/>
        <v>377</v>
      </c>
      <c r="B378" s="6">
        <v>1021575</v>
      </c>
      <c r="C378" s="17">
        <v>69155931</v>
      </c>
      <c r="D378" s="8" t="s">
        <v>472</v>
      </c>
      <c r="E378" s="8" t="s">
        <v>54</v>
      </c>
      <c r="F378" s="8" t="s">
        <v>180</v>
      </c>
      <c r="G378" s="8" t="s">
        <v>315</v>
      </c>
      <c r="H378" s="8" t="s">
        <v>180</v>
      </c>
      <c r="I378" s="8" t="s">
        <v>180</v>
      </c>
    </row>
    <row r="379" spans="1:9">
      <c r="A379" s="5">
        <f t="shared" si="5"/>
        <v>378</v>
      </c>
      <c r="B379" s="6">
        <v>1021649</v>
      </c>
      <c r="C379" s="7" t="e">
        <v>#N/A</v>
      </c>
      <c r="D379" s="8" t="s">
        <v>473</v>
      </c>
      <c r="E379" s="8" t="s">
        <v>54</v>
      </c>
      <c r="F379" s="8" t="s">
        <v>180</v>
      </c>
      <c r="G379" s="8" t="s">
        <v>315</v>
      </c>
      <c r="H379" s="8" t="s">
        <v>180</v>
      </c>
      <c r="I379" s="8" t="s">
        <v>180</v>
      </c>
    </row>
    <row r="380" spans="1:9">
      <c r="A380" s="5">
        <f t="shared" si="5"/>
        <v>379</v>
      </c>
      <c r="B380" s="6">
        <v>1020325</v>
      </c>
      <c r="C380" s="7">
        <v>69139015</v>
      </c>
      <c r="D380" s="8" t="s">
        <v>474</v>
      </c>
      <c r="E380" s="8" t="s">
        <v>54</v>
      </c>
      <c r="F380" s="8" t="s">
        <v>475</v>
      </c>
      <c r="G380" s="8" t="s">
        <v>475</v>
      </c>
      <c r="H380" s="8" t="s">
        <v>475</v>
      </c>
      <c r="I380" s="8" t="s">
        <v>475</v>
      </c>
    </row>
    <row r="381" spans="1:9">
      <c r="A381" s="5">
        <f t="shared" si="5"/>
        <v>380</v>
      </c>
      <c r="B381" s="6">
        <v>1020406</v>
      </c>
      <c r="C381" s="7"/>
      <c r="D381" s="8" t="s">
        <v>476</v>
      </c>
      <c r="E381" s="8" t="s">
        <v>54</v>
      </c>
      <c r="F381" s="8" t="s">
        <v>477</v>
      </c>
      <c r="G381" s="8" t="s">
        <v>477</v>
      </c>
      <c r="H381" s="8" t="s">
        <v>478</v>
      </c>
      <c r="I381" s="8"/>
    </row>
    <row r="382" spans="1:9">
      <c r="A382" s="5">
        <f t="shared" si="5"/>
        <v>381</v>
      </c>
      <c r="B382" s="6">
        <v>1020150</v>
      </c>
      <c r="C382" s="7">
        <v>69134123</v>
      </c>
      <c r="D382" s="8" t="s">
        <v>479</v>
      </c>
      <c r="E382" s="8" t="s">
        <v>54</v>
      </c>
      <c r="F382" s="14" t="s">
        <v>433</v>
      </c>
      <c r="G382" s="14" t="s">
        <v>434</v>
      </c>
      <c r="H382" s="14" t="s">
        <v>433</v>
      </c>
      <c r="I382" s="14" t="s">
        <v>433</v>
      </c>
    </row>
    <row r="383" spans="1:9">
      <c r="A383" s="5">
        <f t="shared" si="5"/>
        <v>382</v>
      </c>
      <c r="B383" s="6">
        <v>1020378</v>
      </c>
      <c r="C383" s="7">
        <v>69140358</v>
      </c>
      <c r="D383" s="8" t="s">
        <v>480</v>
      </c>
      <c r="E383" s="8" t="s">
        <v>54</v>
      </c>
      <c r="F383" s="14" t="s">
        <v>433</v>
      </c>
      <c r="G383" s="14" t="s">
        <v>434</v>
      </c>
      <c r="H383" s="14" t="s">
        <v>433</v>
      </c>
      <c r="I383" s="14" t="s">
        <v>433</v>
      </c>
    </row>
    <row r="384" spans="1:9">
      <c r="A384" s="5">
        <f t="shared" si="5"/>
        <v>383</v>
      </c>
      <c r="B384" s="6">
        <v>1019629</v>
      </c>
      <c r="C384" s="7">
        <v>69115321</v>
      </c>
      <c r="D384" s="8" t="s">
        <v>481</v>
      </c>
      <c r="E384" s="8" t="s">
        <v>54</v>
      </c>
      <c r="F384" s="8" t="s">
        <v>475</v>
      </c>
      <c r="G384" s="8" t="s">
        <v>475</v>
      </c>
      <c r="H384" s="8" t="s">
        <v>159</v>
      </c>
      <c r="I384" s="8" t="s">
        <v>475</v>
      </c>
    </row>
    <row r="385" spans="1:9">
      <c r="A385" s="5">
        <f t="shared" si="5"/>
        <v>384</v>
      </c>
      <c r="B385" s="6">
        <v>1019952</v>
      </c>
      <c r="C385" s="7">
        <v>69130946</v>
      </c>
      <c r="D385" s="8" t="s">
        <v>482</v>
      </c>
      <c r="E385" s="8" t="s">
        <v>54</v>
      </c>
      <c r="F385" s="8" t="s">
        <v>159</v>
      </c>
      <c r="G385" s="8" t="s">
        <v>159</v>
      </c>
      <c r="H385" s="8" t="s">
        <v>159</v>
      </c>
      <c r="I385" s="8" t="s">
        <v>159</v>
      </c>
    </row>
    <row r="386" spans="1:9">
      <c r="A386" s="5">
        <f t="shared" si="5"/>
        <v>385</v>
      </c>
      <c r="B386" s="6">
        <v>1020778</v>
      </c>
      <c r="C386" s="7">
        <v>69146781</v>
      </c>
      <c r="D386" s="8" t="s">
        <v>483</v>
      </c>
      <c r="E386" s="8" t="s">
        <v>54</v>
      </c>
      <c r="F386" s="8" t="s">
        <v>159</v>
      </c>
      <c r="G386" s="8" t="s">
        <v>159</v>
      </c>
      <c r="H386" s="8" t="s">
        <v>159</v>
      </c>
      <c r="I386" s="8" t="s">
        <v>159</v>
      </c>
    </row>
    <row r="387" spans="1:9">
      <c r="A387" s="5">
        <f t="shared" si="5"/>
        <v>386</v>
      </c>
      <c r="B387" s="6">
        <v>1020169</v>
      </c>
      <c r="C387" s="7"/>
      <c r="D387" s="8" t="s">
        <v>484</v>
      </c>
      <c r="E387" s="8" t="s">
        <v>54</v>
      </c>
      <c r="F387" s="8" t="s">
        <v>485</v>
      </c>
      <c r="G387" s="8" t="s">
        <v>485</v>
      </c>
      <c r="H387" s="8" t="s">
        <v>486</v>
      </c>
      <c r="I387" s="8"/>
    </row>
    <row r="388" spans="1:9">
      <c r="A388" s="5">
        <f t="shared" si="5"/>
        <v>387</v>
      </c>
      <c r="B388" s="6">
        <v>1020073</v>
      </c>
      <c r="C388" s="7"/>
      <c r="D388" s="8" t="s">
        <v>487</v>
      </c>
      <c r="E388" s="8" t="s">
        <v>54</v>
      </c>
      <c r="F388" s="8" t="s">
        <v>485</v>
      </c>
      <c r="G388" s="8" t="s">
        <v>485</v>
      </c>
      <c r="H388" s="8" t="s">
        <v>486</v>
      </c>
      <c r="I388" s="8"/>
    </row>
    <row r="389" spans="1:9">
      <c r="A389" s="5">
        <f t="shared" ref="A389:A452" si="6">A388+1</f>
        <v>388</v>
      </c>
      <c r="B389" s="6">
        <v>1020079</v>
      </c>
      <c r="C389" s="7"/>
      <c r="D389" s="8" t="s">
        <v>488</v>
      </c>
      <c r="E389" s="8" t="s">
        <v>54</v>
      </c>
      <c r="F389" s="8" t="s">
        <v>485</v>
      </c>
      <c r="G389" s="8" t="s">
        <v>485</v>
      </c>
      <c r="H389" s="8" t="s">
        <v>486</v>
      </c>
      <c r="I389" s="8"/>
    </row>
    <row r="390" spans="1:9">
      <c r="A390" s="5">
        <f t="shared" si="6"/>
        <v>389</v>
      </c>
      <c r="B390" s="6">
        <v>1020209</v>
      </c>
      <c r="C390" s="7"/>
      <c r="D390" s="8" t="s">
        <v>489</v>
      </c>
      <c r="E390" s="8" t="s">
        <v>54</v>
      </c>
      <c r="F390" s="8" t="s">
        <v>485</v>
      </c>
      <c r="G390" s="8" t="s">
        <v>485</v>
      </c>
      <c r="H390" s="8" t="s">
        <v>486</v>
      </c>
      <c r="I390" s="8"/>
    </row>
    <row r="391" spans="1:9">
      <c r="A391" s="5">
        <f t="shared" si="6"/>
        <v>390</v>
      </c>
      <c r="B391" s="6">
        <v>1019726</v>
      </c>
      <c r="C391" s="7"/>
      <c r="D391" s="8" t="s">
        <v>490</v>
      </c>
      <c r="E391" s="8" t="s">
        <v>54</v>
      </c>
      <c r="F391" s="8" t="s">
        <v>485</v>
      </c>
      <c r="G391" s="8" t="s">
        <v>485</v>
      </c>
      <c r="H391" s="8" t="s">
        <v>486</v>
      </c>
      <c r="I391" s="8"/>
    </row>
    <row r="392" spans="1:9">
      <c r="A392" s="5">
        <f t="shared" si="6"/>
        <v>391</v>
      </c>
      <c r="B392" s="6">
        <v>1019655</v>
      </c>
      <c r="C392" s="7"/>
      <c r="D392" s="8" t="s">
        <v>491</v>
      </c>
      <c r="E392" s="8" t="s">
        <v>54</v>
      </c>
      <c r="F392" s="14" t="s">
        <v>492</v>
      </c>
      <c r="G392" s="8" t="s">
        <v>493</v>
      </c>
      <c r="H392" s="8" t="s">
        <v>493</v>
      </c>
      <c r="I392" s="8"/>
    </row>
    <row r="393" spans="1:9">
      <c r="A393" s="5">
        <f t="shared" si="6"/>
        <v>392</v>
      </c>
      <c r="B393" s="6">
        <v>1019694</v>
      </c>
      <c r="C393" s="7"/>
      <c r="D393" s="8" t="s">
        <v>494</v>
      </c>
      <c r="E393" s="8" t="s">
        <v>54</v>
      </c>
      <c r="F393" s="14" t="s">
        <v>492</v>
      </c>
      <c r="G393" s="8" t="s">
        <v>493</v>
      </c>
      <c r="H393" s="8" t="s">
        <v>493</v>
      </c>
      <c r="I393" s="8"/>
    </row>
    <row r="394" spans="1:9">
      <c r="A394" s="5">
        <f t="shared" si="6"/>
        <v>393</v>
      </c>
      <c r="B394" s="6">
        <v>1020066</v>
      </c>
      <c r="C394" s="7"/>
      <c r="D394" s="8" t="s">
        <v>495</v>
      </c>
      <c r="E394" s="8" t="s">
        <v>54</v>
      </c>
      <c r="F394" s="14" t="s">
        <v>492</v>
      </c>
      <c r="G394" s="8" t="s">
        <v>493</v>
      </c>
      <c r="H394" s="8" t="s">
        <v>493</v>
      </c>
      <c r="I394" s="8"/>
    </row>
    <row r="395" spans="1:9">
      <c r="A395" s="5">
        <f t="shared" si="6"/>
        <v>394</v>
      </c>
      <c r="B395" s="6">
        <v>1020119</v>
      </c>
      <c r="C395" s="7"/>
      <c r="D395" s="8" t="s">
        <v>496</v>
      </c>
      <c r="E395" s="8" t="s">
        <v>54</v>
      </c>
      <c r="F395" s="14" t="s">
        <v>492</v>
      </c>
      <c r="G395" s="8" t="s">
        <v>493</v>
      </c>
      <c r="H395" s="8" t="s">
        <v>493</v>
      </c>
      <c r="I395" s="8"/>
    </row>
    <row r="396" spans="1:9">
      <c r="A396" s="5">
        <f t="shared" si="6"/>
        <v>395</v>
      </c>
      <c r="B396" s="6">
        <v>1020253</v>
      </c>
      <c r="C396" s="7"/>
      <c r="D396" s="8" t="s">
        <v>497</v>
      </c>
      <c r="E396" s="8" t="s">
        <v>54</v>
      </c>
      <c r="F396" s="14" t="s">
        <v>492</v>
      </c>
      <c r="G396" s="8" t="s">
        <v>493</v>
      </c>
      <c r="H396" s="8" t="s">
        <v>493</v>
      </c>
      <c r="I396" s="8"/>
    </row>
    <row r="397" spans="1:9">
      <c r="A397" s="5">
        <f t="shared" si="6"/>
        <v>396</v>
      </c>
      <c r="B397" s="6">
        <v>1020342</v>
      </c>
      <c r="C397" s="7"/>
      <c r="D397" s="8" t="s">
        <v>498</v>
      </c>
      <c r="E397" s="8" t="s">
        <v>54</v>
      </c>
      <c r="F397" s="14" t="s">
        <v>492</v>
      </c>
      <c r="G397" s="8" t="s">
        <v>493</v>
      </c>
      <c r="H397" s="8" t="s">
        <v>493</v>
      </c>
      <c r="I397" s="8"/>
    </row>
    <row r="398" spans="1:9">
      <c r="A398" s="5">
        <f t="shared" si="6"/>
        <v>397</v>
      </c>
      <c r="B398" s="6">
        <v>1019451</v>
      </c>
      <c r="C398" s="7"/>
      <c r="D398" s="8" t="s">
        <v>499</v>
      </c>
      <c r="E398" s="8" t="s">
        <v>54</v>
      </c>
      <c r="F398" s="8" t="s">
        <v>92</v>
      </c>
      <c r="G398" s="8" t="s">
        <v>92</v>
      </c>
      <c r="H398" s="8" t="s">
        <v>93</v>
      </c>
      <c r="I398" s="8"/>
    </row>
    <row r="399" spans="1:9">
      <c r="A399" s="5">
        <f t="shared" si="6"/>
        <v>398</v>
      </c>
      <c r="B399" s="6">
        <v>1019754</v>
      </c>
      <c r="C399" s="7"/>
      <c r="D399" s="8" t="s">
        <v>500</v>
      </c>
      <c r="E399" s="8" t="s">
        <v>54</v>
      </c>
      <c r="F399" s="8" t="s">
        <v>92</v>
      </c>
      <c r="G399" s="8" t="s">
        <v>92</v>
      </c>
      <c r="H399" s="8" t="s">
        <v>93</v>
      </c>
      <c r="I399" s="8"/>
    </row>
    <row r="400" spans="1:9">
      <c r="A400" s="5">
        <f t="shared" si="6"/>
        <v>399</v>
      </c>
      <c r="B400" s="6">
        <v>1019893</v>
      </c>
      <c r="C400" s="7"/>
      <c r="D400" s="8" t="s">
        <v>501</v>
      </c>
      <c r="E400" s="8" t="s">
        <v>54</v>
      </c>
      <c r="F400" s="8" t="s">
        <v>92</v>
      </c>
      <c r="G400" s="8" t="s">
        <v>92</v>
      </c>
      <c r="H400" s="8" t="s">
        <v>93</v>
      </c>
      <c r="I400" s="8"/>
    </row>
    <row r="401" spans="1:9">
      <c r="A401" s="5">
        <f t="shared" si="6"/>
        <v>400</v>
      </c>
      <c r="B401" s="6">
        <v>1019998</v>
      </c>
      <c r="C401" s="7"/>
      <c r="D401" s="8" t="s">
        <v>502</v>
      </c>
      <c r="E401" s="8" t="s">
        <v>54</v>
      </c>
      <c r="F401" s="8" t="s">
        <v>92</v>
      </c>
      <c r="G401" s="8" t="s">
        <v>92</v>
      </c>
      <c r="H401" s="8" t="s">
        <v>93</v>
      </c>
      <c r="I401" s="8"/>
    </row>
    <row r="402" spans="1:9">
      <c r="A402" s="5">
        <f t="shared" si="6"/>
        <v>401</v>
      </c>
      <c r="B402" s="6">
        <v>1020002</v>
      </c>
      <c r="C402" s="7"/>
      <c r="D402" s="8" t="s">
        <v>503</v>
      </c>
      <c r="E402" s="8" t="s">
        <v>54</v>
      </c>
      <c r="F402" s="8" t="s">
        <v>92</v>
      </c>
      <c r="G402" s="8" t="s">
        <v>92</v>
      </c>
      <c r="H402" s="8" t="s">
        <v>93</v>
      </c>
      <c r="I402" s="8"/>
    </row>
    <row r="403" spans="1:9">
      <c r="A403" s="5">
        <f t="shared" si="6"/>
        <v>402</v>
      </c>
      <c r="B403" s="6">
        <v>1020037</v>
      </c>
      <c r="C403" s="7"/>
      <c r="D403" s="8" t="s">
        <v>504</v>
      </c>
      <c r="E403" s="8" t="s">
        <v>54</v>
      </c>
      <c r="F403" s="8" t="s">
        <v>92</v>
      </c>
      <c r="G403" s="8" t="s">
        <v>92</v>
      </c>
      <c r="H403" s="8" t="s">
        <v>93</v>
      </c>
      <c r="I403" s="8"/>
    </row>
    <row r="404" spans="1:9">
      <c r="A404" s="5">
        <f t="shared" si="6"/>
        <v>403</v>
      </c>
      <c r="B404" s="6">
        <v>1020153</v>
      </c>
      <c r="C404" s="7"/>
      <c r="D404" s="8" t="s">
        <v>505</v>
      </c>
      <c r="E404" s="8" t="s">
        <v>54</v>
      </c>
      <c r="F404" s="8" t="s">
        <v>92</v>
      </c>
      <c r="G404" s="8" t="s">
        <v>92</v>
      </c>
      <c r="H404" s="8" t="s">
        <v>93</v>
      </c>
      <c r="I404" s="8"/>
    </row>
    <row r="405" spans="1:9">
      <c r="A405" s="5">
        <f t="shared" si="6"/>
        <v>404</v>
      </c>
      <c r="B405" s="6">
        <v>1019342</v>
      </c>
      <c r="C405" s="7"/>
      <c r="D405" s="8" t="s">
        <v>506</v>
      </c>
      <c r="E405" s="8" t="s">
        <v>54</v>
      </c>
      <c r="F405" s="8" t="s">
        <v>92</v>
      </c>
      <c r="G405" s="8" t="s">
        <v>92</v>
      </c>
      <c r="H405" s="8" t="s">
        <v>93</v>
      </c>
      <c r="I405" s="8"/>
    </row>
    <row r="406" spans="1:9">
      <c r="A406" s="5">
        <f t="shared" si="6"/>
        <v>405</v>
      </c>
      <c r="B406" s="6">
        <v>1020577</v>
      </c>
      <c r="C406" s="7"/>
      <c r="D406" s="8" t="s">
        <v>507</v>
      </c>
      <c r="E406" s="8" t="s">
        <v>54</v>
      </c>
      <c r="F406" s="8" t="s">
        <v>92</v>
      </c>
      <c r="G406" s="8" t="s">
        <v>92</v>
      </c>
      <c r="H406" s="8" t="s">
        <v>93</v>
      </c>
      <c r="I406" s="8"/>
    </row>
    <row r="407" spans="1:9">
      <c r="A407" s="5">
        <f t="shared" si="6"/>
        <v>406</v>
      </c>
      <c r="B407" s="6">
        <v>1020631</v>
      </c>
      <c r="C407" s="7"/>
      <c r="D407" s="8" t="s">
        <v>508</v>
      </c>
      <c r="E407" s="8" t="s">
        <v>54</v>
      </c>
      <c r="F407" s="8" t="s">
        <v>92</v>
      </c>
      <c r="G407" s="8" t="s">
        <v>92</v>
      </c>
      <c r="H407" s="8" t="s">
        <v>93</v>
      </c>
      <c r="I407" s="8"/>
    </row>
    <row r="408" spans="1:9">
      <c r="A408" s="5">
        <f t="shared" si="6"/>
        <v>407</v>
      </c>
      <c r="B408" s="6">
        <v>1012922</v>
      </c>
      <c r="C408" s="7"/>
      <c r="D408" s="8" t="s">
        <v>509</v>
      </c>
      <c r="E408" s="8" t="s">
        <v>54</v>
      </c>
      <c r="F408" s="8" t="s">
        <v>92</v>
      </c>
      <c r="G408" s="8" t="s">
        <v>92</v>
      </c>
      <c r="H408" s="8" t="s">
        <v>93</v>
      </c>
      <c r="I408" s="8"/>
    </row>
    <row r="409" spans="1:9">
      <c r="A409" s="5">
        <f t="shared" si="6"/>
        <v>408</v>
      </c>
      <c r="B409" s="6">
        <v>1019957</v>
      </c>
      <c r="C409" s="7"/>
      <c r="D409" s="8" t="s">
        <v>510</v>
      </c>
      <c r="E409" s="8" t="s">
        <v>54</v>
      </c>
      <c r="F409" s="8" t="s">
        <v>92</v>
      </c>
      <c r="G409" s="8" t="s">
        <v>92</v>
      </c>
      <c r="H409" s="8" t="s">
        <v>93</v>
      </c>
      <c r="I409" s="8"/>
    </row>
    <row r="410" spans="1:9">
      <c r="A410" s="5">
        <f t="shared" si="6"/>
        <v>409</v>
      </c>
      <c r="B410" s="6">
        <v>1020103</v>
      </c>
      <c r="C410" s="18">
        <v>69136049</v>
      </c>
      <c r="D410" s="8" t="s">
        <v>511</v>
      </c>
      <c r="E410" s="8" t="s">
        <v>54</v>
      </c>
      <c r="F410" s="8" t="s">
        <v>90</v>
      </c>
      <c r="G410" s="8" t="s">
        <v>90</v>
      </c>
      <c r="H410" s="8" t="s">
        <v>90</v>
      </c>
      <c r="I410" s="8" t="s">
        <v>90</v>
      </c>
    </row>
    <row r="411" spans="1:9">
      <c r="A411" s="5">
        <f t="shared" si="6"/>
        <v>410</v>
      </c>
      <c r="B411" s="19">
        <v>1015794</v>
      </c>
      <c r="C411" s="16"/>
      <c r="D411" s="19" t="s">
        <v>512</v>
      </c>
      <c r="E411" s="8" t="s">
        <v>54</v>
      </c>
      <c r="F411" s="8" t="s">
        <v>240</v>
      </c>
      <c r="G411" s="8" t="s">
        <v>240</v>
      </c>
      <c r="H411" s="17"/>
      <c r="I411" s="8" t="s">
        <v>240</v>
      </c>
    </row>
    <row r="412" spans="1:9">
      <c r="A412" s="5">
        <f t="shared" si="6"/>
        <v>411</v>
      </c>
      <c r="B412" s="5">
        <v>1021731</v>
      </c>
      <c r="C412" s="20">
        <v>69157662</v>
      </c>
      <c r="D412" s="8" t="s">
        <v>513</v>
      </c>
      <c r="E412" s="8" t="s">
        <v>54</v>
      </c>
      <c r="F412" s="8" t="s">
        <v>57</v>
      </c>
      <c r="G412" s="8" t="s">
        <v>315</v>
      </c>
      <c r="H412" s="8" t="s">
        <v>57</v>
      </c>
      <c r="I412" s="8" t="s">
        <v>57</v>
      </c>
    </row>
    <row r="413" spans="1:9" ht="15">
      <c r="A413" s="5">
        <f t="shared" si="6"/>
        <v>412</v>
      </c>
      <c r="B413" s="5">
        <v>1021843</v>
      </c>
      <c r="C413" s="21">
        <v>69158191</v>
      </c>
      <c r="D413" s="8" t="s">
        <v>514</v>
      </c>
      <c r="E413" s="8" t="s">
        <v>54</v>
      </c>
      <c r="F413" s="8" t="s">
        <v>57</v>
      </c>
      <c r="G413" s="8" t="s">
        <v>315</v>
      </c>
      <c r="H413" s="8" t="s">
        <v>57</v>
      </c>
      <c r="I413" s="8" t="s">
        <v>57</v>
      </c>
    </row>
    <row r="414" spans="1:9">
      <c r="A414" s="5">
        <f t="shared" si="6"/>
        <v>413</v>
      </c>
      <c r="B414" s="5">
        <v>1021758</v>
      </c>
      <c r="C414" s="8">
        <v>69157460</v>
      </c>
      <c r="D414" s="8" t="s">
        <v>515</v>
      </c>
      <c r="E414" s="8" t="s">
        <v>54</v>
      </c>
      <c r="F414" s="8" t="s">
        <v>95</v>
      </c>
      <c r="G414" s="8" t="s">
        <v>315</v>
      </c>
      <c r="H414" s="8" t="s">
        <v>95</v>
      </c>
      <c r="I414" s="8" t="s">
        <v>95</v>
      </c>
    </row>
    <row r="415" spans="1:9">
      <c r="A415" s="5">
        <f t="shared" si="6"/>
        <v>414</v>
      </c>
      <c r="B415" s="5">
        <v>1021842</v>
      </c>
      <c r="C415" s="16"/>
      <c r="D415" s="8" t="s">
        <v>516</v>
      </c>
      <c r="E415" s="8" t="s">
        <v>54</v>
      </c>
      <c r="F415" s="8" t="s">
        <v>95</v>
      </c>
      <c r="G415" s="8" t="s">
        <v>315</v>
      </c>
      <c r="H415" s="8" t="s">
        <v>95</v>
      </c>
      <c r="I415" s="8" t="s">
        <v>95</v>
      </c>
    </row>
    <row r="416" spans="1:9">
      <c r="A416" s="5">
        <f t="shared" si="6"/>
        <v>415</v>
      </c>
      <c r="B416" s="5">
        <v>1021883</v>
      </c>
      <c r="C416" s="16"/>
      <c r="D416" s="8" t="s">
        <v>517</v>
      </c>
      <c r="E416" s="8" t="s">
        <v>54</v>
      </c>
      <c r="F416" s="8" t="s">
        <v>95</v>
      </c>
      <c r="G416" s="8" t="s">
        <v>315</v>
      </c>
      <c r="H416" s="8" t="s">
        <v>95</v>
      </c>
      <c r="I416" s="8" t="s">
        <v>95</v>
      </c>
    </row>
    <row r="417" spans="1:9">
      <c r="A417" s="5">
        <f t="shared" si="6"/>
        <v>416</v>
      </c>
      <c r="B417" s="5">
        <v>1021796</v>
      </c>
      <c r="C417" s="16"/>
      <c r="D417" s="8" t="s">
        <v>518</v>
      </c>
      <c r="E417" s="8" t="s">
        <v>54</v>
      </c>
      <c r="F417" s="8" t="s">
        <v>110</v>
      </c>
      <c r="G417" s="8" t="s">
        <v>315</v>
      </c>
      <c r="H417" s="8" t="s">
        <v>110</v>
      </c>
      <c r="I417" s="8" t="s">
        <v>110</v>
      </c>
    </row>
    <row r="418" spans="1:9">
      <c r="A418" s="5">
        <f t="shared" si="6"/>
        <v>417</v>
      </c>
      <c r="B418" s="5">
        <v>1021909</v>
      </c>
      <c r="C418" s="16"/>
      <c r="D418" s="5" t="s">
        <v>519</v>
      </c>
      <c r="E418" s="8" t="s">
        <v>54</v>
      </c>
      <c r="F418" s="8" t="s">
        <v>147</v>
      </c>
      <c r="G418" s="8" t="s">
        <v>315</v>
      </c>
      <c r="H418" s="8" t="s">
        <v>148</v>
      </c>
      <c r="I418" s="8"/>
    </row>
    <row r="419" spans="1:9">
      <c r="A419" s="5">
        <f t="shared" si="6"/>
        <v>418</v>
      </c>
      <c r="B419" s="5">
        <v>1021813</v>
      </c>
      <c r="C419" s="16"/>
      <c r="D419" s="5" t="s">
        <v>520</v>
      </c>
      <c r="E419" s="8" t="s">
        <v>54</v>
      </c>
      <c r="F419" s="8" t="s">
        <v>147</v>
      </c>
      <c r="G419" s="8" t="s">
        <v>315</v>
      </c>
      <c r="H419" s="8" t="s">
        <v>148</v>
      </c>
      <c r="I419" s="8" t="s">
        <v>186</v>
      </c>
    </row>
    <row r="420" spans="1:9">
      <c r="A420" s="5">
        <f t="shared" si="6"/>
        <v>419</v>
      </c>
      <c r="B420" s="5">
        <v>1021840</v>
      </c>
      <c r="C420" s="16"/>
      <c r="D420" s="5" t="s">
        <v>521</v>
      </c>
      <c r="E420" s="8" t="s">
        <v>54</v>
      </c>
      <c r="F420" s="8" t="s">
        <v>147</v>
      </c>
      <c r="G420" s="8" t="s">
        <v>315</v>
      </c>
      <c r="H420" s="8" t="s">
        <v>148</v>
      </c>
      <c r="I420" s="8" t="s">
        <v>522</v>
      </c>
    </row>
    <row r="421" spans="1:9">
      <c r="A421" s="5">
        <f t="shared" si="6"/>
        <v>420</v>
      </c>
      <c r="B421" s="5">
        <v>1021848</v>
      </c>
      <c r="C421" s="22">
        <v>69157857</v>
      </c>
      <c r="D421" s="5" t="s">
        <v>523</v>
      </c>
      <c r="E421" s="8" t="s">
        <v>54</v>
      </c>
      <c r="F421" s="8" t="s">
        <v>147</v>
      </c>
      <c r="G421" s="8" t="s">
        <v>315</v>
      </c>
      <c r="H421" s="8" t="s">
        <v>148</v>
      </c>
      <c r="I421" s="8" t="s">
        <v>522</v>
      </c>
    </row>
    <row r="422" spans="1:9">
      <c r="A422" s="5">
        <f t="shared" si="6"/>
        <v>421</v>
      </c>
      <c r="B422" s="5">
        <v>1021920</v>
      </c>
      <c r="C422" s="16"/>
      <c r="D422" s="5" t="s">
        <v>524</v>
      </c>
      <c r="E422" s="8" t="s">
        <v>54</v>
      </c>
      <c r="F422" s="8" t="s">
        <v>147</v>
      </c>
      <c r="G422" s="8" t="s">
        <v>315</v>
      </c>
      <c r="H422" s="8" t="s">
        <v>148</v>
      </c>
      <c r="I422" s="8" t="s">
        <v>186</v>
      </c>
    </row>
    <row r="423" spans="1:9">
      <c r="A423" s="5">
        <f t="shared" si="6"/>
        <v>422</v>
      </c>
      <c r="B423" s="5">
        <v>1021223</v>
      </c>
      <c r="C423" s="16"/>
      <c r="D423" s="8" t="s">
        <v>525</v>
      </c>
      <c r="E423" s="8" t="s">
        <v>54</v>
      </c>
      <c r="F423" s="8" t="s">
        <v>240</v>
      </c>
      <c r="G423" s="8" t="s">
        <v>315</v>
      </c>
      <c r="H423" s="8" t="s">
        <v>291</v>
      </c>
      <c r="I423" s="8" t="s">
        <v>291</v>
      </c>
    </row>
    <row r="424" spans="1:9">
      <c r="A424" s="5">
        <f t="shared" si="6"/>
        <v>423</v>
      </c>
      <c r="B424" s="5">
        <v>1021746</v>
      </c>
      <c r="C424" s="16"/>
      <c r="D424" s="8" t="s">
        <v>526</v>
      </c>
      <c r="E424" s="8" t="s">
        <v>54</v>
      </c>
      <c r="F424" s="8" t="s">
        <v>240</v>
      </c>
      <c r="G424" s="8" t="s">
        <v>315</v>
      </c>
      <c r="H424" s="8" t="s">
        <v>291</v>
      </c>
      <c r="I424" s="8" t="s">
        <v>291</v>
      </c>
    </row>
    <row r="425" spans="1:9">
      <c r="A425" s="5">
        <f t="shared" si="6"/>
        <v>424</v>
      </c>
      <c r="B425" s="5">
        <v>1021747</v>
      </c>
      <c r="C425" s="16"/>
      <c r="D425" s="8" t="s">
        <v>527</v>
      </c>
      <c r="E425" s="8" t="s">
        <v>54</v>
      </c>
      <c r="F425" s="8" t="s">
        <v>240</v>
      </c>
      <c r="G425" s="8" t="s">
        <v>315</v>
      </c>
      <c r="H425" s="8" t="s">
        <v>291</v>
      </c>
      <c r="I425" s="8" t="s">
        <v>291</v>
      </c>
    </row>
    <row r="426" spans="1:9">
      <c r="A426" s="5">
        <f t="shared" si="6"/>
        <v>425</v>
      </c>
      <c r="B426" s="5">
        <v>1021766</v>
      </c>
      <c r="C426" s="16"/>
      <c r="D426" s="8" t="s">
        <v>528</v>
      </c>
      <c r="E426" s="8" t="s">
        <v>54</v>
      </c>
      <c r="F426" s="8" t="s">
        <v>240</v>
      </c>
      <c r="G426" s="8" t="s">
        <v>315</v>
      </c>
      <c r="H426" s="8" t="s">
        <v>291</v>
      </c>
      <c r="I426" s="8" t="s">
        <v>291</v>
      </c>
    </row>
    <row r="427" spans="1:9">
      <c r="A427" s="5">
        <f t="shared" si="6"/>
        <v>426</v>
      </c>
      <c r="B427" s="5">
        <v>1021841</v>
      </c>
      <c r="C427" s="16"/>
      <c r="D427" s="8" t="s">
        <v>529</v>
      </c>
      <c r="E427" s="8" t="s">
        <v>54</v>
      </c>
      <c r="F427" s="8" t="s">
        <v>240</v>
      </c>
      <c r="G427" s="8" t="s">
        <v>315</v>
      </c>
      <c r="H427" s="8" t="s">
        <v>291</v>
      </c>
      <c r="I427" s="8" t="s">
        <v>291</v>
      </c>
    </row>
    <row r="428" spans="1:9">
      <c r="A428" s="5">
        <f t="shared" si="6"/>
        <v>427</v>
      </c>
      <c r="B428" s="5">
        <v>1021862</v>
      </c>
      <c r="C428" s="16"/>
      <c r="D428" s="8" t="s">
        <v>530</v>
      </c>
      <c r="E428" s="8" t="s">
        <v>54</v>
      </c>
      <c r="F428" s="8" t="s">
        <v>240</v>
      </c>
      <c r="G428" s="8" t="s">
        <v>315</v>
      </c>
      <c r="H428" s="8" t="s">
        <v>291</v>
      </c>
      <c r="I428" s="8" t="s">
        <v>291</v>
      </c>
    </row>
    <row r="429" spans="1:9">
      <c r="A429" s="5">
        <f t="shared" si="6"/>
        <v>428</v>
      </c>
      <c r="B429" s="6">
        <v>1021569</v>
      </c>
      <c r="C429" s="16"/>
      <c r="D429" s="8" t="s">
        <v>531</v>
      </c>
      <c r="E429" s="8" t="s">
        <v>54</v>
      </c>
      <c r="F429" s="8" t="s">
        <v>240</v>
      </c>
      <c r="G429" s="8" t="s">
        <v>315</v>
      </c>
      <c r="H429" s="8" t="s">
        <v>291</v>
      </c>
      <c r="I429" s="8" t="s">
        <v>291</v>
      </c>
    </row>
    <row r="430" spans="1:9">
      <c r="A430" s="5">
        <f t="shared" si="6"/>
        <v>429</v>
      </c>
      <c r="B430" s="5">
        <v>1021888</v>
      </c>
      <c r="C430" s="16"/>
      <c r="D430" s="8" t="s">
        <v>532</v>
      </c>
      <c r="E430" s="8" t="s">
        <v>54</v>
      </c>
      <c r="F430" s="8" t="s">
        <v>240</v>
      </c>
      <c r="G430" s="8" t="s">
        <v>315</v>
      </c>
      <c r="H430" s="8" t="s">
        <v>291</v>
      </c>
      <c r="I430" s="8" t="s">
        <v>291</v>
      </c>
    </row>
    <row r="431" spans="1:9">
      <c r="A431" s="5">
        <f t="shared" si="6"/>
        <v>430</v>
      </c>
      <c r="B431" s="5">
        <v>1021889</v>
      </c>
      <c r="C431" s="16"/>
      <c r="D431" s="8" t="s">
        <v>533</v>
      </c>
      <c r="E431" s="8" t="s">
        <v>54</v>
      </c>
      <c r="F431" s="8" t="s">
        <v>240</v>
      </c>
      <c r="G431" s="8" t="s">
        <v>315</v>
      </c>
      <c r="H431" s="8" t="s">
        <v>291</v>
      </c>
      <c r="I431" s="8" t="s">
        <v>291</v>
      </c>
    </row>
    <row r="432" spans="1:9">
      <c r="A432" s="5">
        <f t="shared" si="6"/>
        <v>431</v>
      </c>
      <c r="B432" s="5">
        <v>1021895</v>
      </c>
      <c r="C432" s="16"/>
      <c r="D432" s="8" t="s">
        <v>534</v>
      </c>
      <c r="E432" s="8" t="s">
        <v>54</v>
      </c>
      <c r="F432" s="8" t="s">
        <v>240</v>
      </c>
      <c r="G432" s="8" t="s">
        <v>315</v>
      </c>
      <c r="H432" s="8" t="s">
        <v>291</v>
      </c>
      <c r="I432" s="8" t="s">
        <v>291</v>
      </c>
    </row>
    <row r="433" spans="1:9">
      <c r="A433" s="5">
        <f t="shared" si="6"/>
        <v>432</v>
      </c>
      <c r="B433" s="5">
        <v>1021896</v>
      </c>
      <c r="C433" s="16"/>
      <c r="D433" s="8" t="s">
        <v>535</v>
      </c>
      <c r="E433" s="8" t="s">
        <v>54</v>
      </c>
      <c r="F433" s="8" t="s">
        <v>240</v>
      </c>
      <c r="G433" s="8" t="s">
        <v>315</v>
      </c>
      <c r="H433" s="8" t="s">
        <v>291</v>
      </c>
      <c r="I433" s="8" t="s">
        <v>291</v>
      </c>
    </row>
    <row r="434" spans="1:9">
      <c r="A434" s="5">
        <f t="shared" si="6"/>
        <v>433</v>
      </c>
      <c r="B434" s="5">
        <v>1021414</v>
      </c>
      <c r="C434" s="18">
        <v>69156042</v>
      </c>
      <c r="D434" s="8" t="s">
        <v>536</v>
      </c>
      <c r="E434" s="8" t="s">
        <v>54</v>
      </c>
      <c r="F434" s="8" t="s">
        <v>90</v>
      </c>
      <c r="G434" s="8" t="s">
        <v>315</v>
      </c>
      <c r="H434" s="8" t="s">
        <v>371</v>
      </c>
      <c r="I434" s="8" t="s">
        <v>90</v>
      </c>
    </row>
    <row r="435" spans="1:9">
      <c r="A435" s="5">
        <f t="shared" si="6"/>
        <v>434</v>
      </c>
      <c r="B435" s="5">
        <v>1021445</v>
      </c>
      <c r="C435" s="16"/>
      <c r="D435" s="8" t="s">
        <v>537</v>
      </c>
      <c r="E435" s="8" t="s">
        <v>54</v>
      </c>
      <c r="F435" s="8" t="s">
        <v>90</v>
      </c>
      <c r="G435" s="8" t="s">
        <v>315</v>
      </c>
      <c r="H435" s="8" t="s">
        <v>371</v>
      </c>
      <c r="I435" s="8" t="s">
        <v>371</v>
      </c>
    </row>
    <row r="436" spans="1:9">
      <c r="A436" s="5">
        <f t="shared" si="6"/>
        <v>435</v>
      </c>
      <c r="B436" s="5">
        <v>1021483</v>
      </c>
      <c r="C436" s="16"/>
      <c r="D436" s="8" t="s">
        <v>538</v>
      </c>
      <c r="E436" s="8" t="s">
        <v>54</v>
      </c>
      <c r="F436" s="8" t="s">
        <v>90</v>
      </c>
      <c r="G436" s="8" t="s">
        <v>315</v>
      </c>
      <c r="H436" s="8" t="s">
        <v>371</v>
      </c>
      <c r="I436" s="8" t="s">
        <v>371</v>
      </c>
    </row>
    <row r="437" spans="1:9">
      <c r="A437" s="5">
        <f t="shared" si="6"/>
        <v>436</v>
      </c>
      <c r="B437" s="5">
        <v>1021119</v>
      </c>
      <c r="C437" s="18">
        <v>69156043</v>
      </c>
      <c r="D437" s="8" t="s">
        <v>539</v>
      </c>
      <c r="E437" s="8" t="s">
        <v>54</v>
      </c>
      <c r="F437" s="8" t="s">
        <v>90</v>
      </c>
      <c r="G437" s="8" t="s">
        <v>315</v>
      </c>
      <c r="H437" s="8" t="s">
        <v>371</v>
      </c>
      <c r="I437" s="8" t="s">
        <v>90</v>
      </c>
    </row>
    <row r="438" spans="1:9">
      <c r="A438" s="5">
        <f t="shared" si="6"/>
        <v>437</v>
      </c>
      <c r="B438" s="5">
        <v>1021576</v>
      </c>
      <c r="C438" s="17">
        <v>69158420</v>
      </c>
      <c r="D438" s="8" t="s">
        <v>540</v>
      </c>
      <c r="E438" s="8" t="s">
        <v>54</v>
      </c>
      <c r="F438" s="8" t="s">
        <v>90</v>
      </c>
      <c r="G438" s="8" t="s">
        <v>315</v>
      </c>
      <c r="H438" s="8" t="s">
        <v>371</v>
      </c>
      <c r="I438" s="8" t="s">
        <v>371</v>
      </c>
    </row>
    <row r="439" spans="1:9">
      <c r="A439" s="5">
        <f t="shared" si="6"/>
        <v>438</v>
      </c>
      <c r="B439" s="5">
        <v>1021601</v>
      </c>
      <c r="C439" s="16"/>
      <c r="D439" s="8" t="s">
        <v>541</v>
      </c>
      <c r="E439" s="8" t="s">
        <v>54</v>
      </c>
      <c r="F439" s="8" t="s">
        <v>90</v>
      </c>
      <c r="G439" s="8" t="s">
        <v>315</v>
      </c>
      <c r="H439" s="8" t="s">
        <v>371</v>
      </c>
      <c r="I439" s="8" t="s">
        <v>371</v>
      </c>
    </row>
    <row r="440" spans="1:9">
      <c r="A440" s="5">
        <f t="shared" si="6"/>
        <v>439</v>
      </c>
      <c r="B440" s="5">
        <v>1021522</v>
      </c>
      <c r="C440" s="16"/>
      <c r="D440" s="8" t="s">
        <v>542</v>
      </c>
      <c r="E440" s="8" t="s">
        <v>54</v>
      </c>
      <c r="F440" s="8" t="s">
        <v>90</v>
      </c>
      <c r="G440" s="8" t="s">
        <v>315</v>
      </c>
      <c r="H440" s="8" t="s">
        <v>371</v>
      </c>
      <c r="I440" s="8" t="s">
        <v>371</v>
      </c>
    </row>
    <row r="441" spans="1:9">
      <c r="A441" s="5">
        <f t="shared" si="6"/>
        <v>440</v>
      </c>
      <c r="B441" s="5">
        <v>1019984</v>
      </c>
      <c r="C441" s="16"/>
      <c r="D441" s="8" t="s">
        <v>543</v>
      </c>
      <c r="E441" s="8" t="s">
        <v>54</v>
      </c>
      <c r="F441" s="8" t="s">
        <v>90</v>
      </c>
      <c r="G441" s="8" t="s">
        <v>315</v>
      </c>
      <c r="H441" s="8" t="s">
        <v>371</v>
      </c>
      <c r="I441" s="8" t="s">
        <v>371</v>
      </c>
    </row>
    <row r="442" spans="1:9">
      <c r="A442" s="5">
        <f t="shared" si="6"/>
        <v>441</v>
      </c>
      <c r="B442" s="5">
        <v>1021789</v>
      </c>
      <c r="C442" s="16"/>
      <c r="D442" s="8" t="s">
        <v>544</v>
      </c>
      <c r="E442" s="8" t="s">
        <v>54</v>
      </c>
      <c r="F442" s="8" t="s">
        <v>411</v>
      </c>
      <c r="G442" s="8" t="s">
        <v>315</v>
      </c>
      <c r="H442" s="8" t="s">
        <v>411</v>
      </c>
      <c r="I442" s="8" t="s">
        <v>411</v>
      </c>
    </row>
    <row r="443" spans="1:9">
      <c r="A443" s="5">
        <f t="shared" si="6"/>
        <v>442</v>
      </c>
      <c r="B443" s="5">
        <v>1021900</v>
      </c>
      <c r="C443" s="16"/>
      <c r="D443" s="8" t="s">
        <v>545</v>
      </c>
      <c r="E443" s="8" t="s">
        <v>54</v>
      </c>
      <c r="F443" s="8" t="s">
        <v>180</v>
      </c>
      <c r="G443" s="8" t="s">
        <v>315</v>
      </c>
      <c r="H443" s="8" t="s">
        <v>180</v>
      </c>
      <c r="I443" s="8" t="s">
        <v>180</v>
      </c>
    </row>
    <row r="444" spans="1:9">
      <c r="A444" s="5">
        <f t="shared" si="6"/>
        <v>443</v>
      </c>
      <c r="B444" s="23">
        <v>1020303</v>
      </c>
      <c r="C444" s="16"/>
      <c r="D444" s="24" t="s">
        <v>546</v>
      </c>
      <c r="E444" s="8" t="s">
        <v>54</v>
      </c>
      <c r="F444" s="8" t="s">
        <v>547</v>
      </c>
      <c r="G444" s="8" t="s">
        <v>240</v>
      </c>
      <c r="H444" s="8" t="s">
        <v>291</v>
      </c>
      <c r="I444" s="8" t="s">
        <v>240</v>
      </c>
    </row>
    <row r="445" spans="1:9">
      <c r="A445" s="5">
        <f t="shared" si="6"/>
        <v>444</v>
      </c>
      <c r="B445" s="5">
        <v>1021085</v>
      </c>
      <c r="C445" s="16"/>
      <c r="D445" s="8" t="s">
        <v>548</v>
      </c>
      <c r="E445" s="8" t="s">
        <v>54</v>
      </c>
      <c r="F445" s="8" t="s">
        <v>439</v>
      </c>
      <c r="G445" s="8" t="s">
        <v>315</v>
      </c>
      <c r="H445" s="8" t="s">
        <v>439</v>
      </c>
      <c r="I445" s="8" t="s">
        <v>439</v>
      </c>
    </row>
    <row r="446" spans="1:9">
      <c r="A446" s="5">
        <f t="shared" si="6"/>
        <v>445</v>
      </c>
      <c r="B446" s="6">
        <v>1020353</v>
      </c>
      <c r="C446" s="7">
        <v>69140027</v>
      </c>
      <c r="D446" s="9" t="s">
        <v>549</v>
      </c>
      <c r="E446" s="8" t="s">
        <v>54</v>
      </c>
      <c r="F446" s="8" t="s">
        <v>411</v>
      </c>
      <c r="G446" s="8" t="s">
        <v>411</v>
      </c>
      <c r="H446" s="8" t="s">
        <v>411</v>
      </c>
      <c r="I446" s="8" t="s">
        <v>411</v>
      </c>
    </row>
    <row r="447" spans="1:9">
      <c r="A447" s="5">
        <f t="shared" si="6"/>
        <v>446</v>
      </c>
      <c r="B447" s="6">
        <v>1019751</v>
      </c>
      <c r="C447" s="7"/>
      <c r="D447" s="8" t="s">
        <v>550</v>
      </c>
      <c r="E447" s="8" t="s">
        <v>54</v>
      </c>
      <c r="F447" s="8" t="s">
        <v>159</v>
      </c>
      <c r="G447" s="8" t="e">
        <v>#N/A</v>
      </c>
      <c r="H447" s="8" t="s">
        <v>159</v>
      </c>
      <c r="I447" s="8" t="s">
        <v>159</v>
      </c>
    </row>
    <row r="448" spans="1:9">
      <c r="A448" s="5">
        <f t="shared" si="6"/>
        <v>447</v>
      </c>
      <c r="B448" s="6">
        <v>1022051</v>
      </c>
      <c r="C448" s="7"/>
      <c r="D448" s="8" t="s">
        <v>551</v>
      </c>
      <c r="E448" s="8" t="s">
        <v>54</v>
      </c>
      <c r="F448" s="8" t="s">
        <v>110</v>
      </c>
      <c r="G448" s="8" t="e">
        <v>#N/A</v>
      </c>
      <c r="H448" s="8" t="s">
        <v>126</v>
      </c>
      <c r="I448" s="8" t="s">
        <v>126</v>
      </c>
    </row>
    <row r="449" spans="1:9">
      <c r="A449" s="5">
        <f t="shared" si="6"/>
        <v>448</v>
      </c>
      <c r="B449" s="6">
        <v>1022095</v>
      </c>
      <c r="C449" s="7"/>
      <c r="D449" s="8" t="s">
        <v>552</v>
      </c>
      <c r="E449" s="8" t="s">
        <v>54</v>
      </c>
      <c r="F449" s="8" t="s">
        <v>110</v>
      </c>
      <c r="G449" s="8" t="e">
        <v>#N/A</v>
      </c>
      <c r="H449" s="8" t="s">
        <v>126</v>
      </c>
      <c r="I449" s="8" t="s">
        <v>126</v>
      </c>
    </row>
    <row r="450" spans="1:9">
      <c r="A450" s="5">
        <f t="shared" si="6"/>
        <v>449</v>
      </c>
      <c r="B450" s="6">
        <v>1022000</v>
      </c>
      <c r="C450" s="7"/>
      <c r="D450" s="8" t="s">
        <v>553</v>
      </c>
      <c r="E450" s="8" t="s">
        <v>54</v>
      </c>
      <c r="F450" s="8" t="s">
        <v>180</v>
      </c>
      <c r="G450" s="8" t="e">
        <v>#N/A</v>
      </c>
      <c r="H450" s="8" t="s">
        <v>180</v>
      </c>
      <c r="I450" s="8" t="s">
        <v>180</v>
      </c>
    </row>
    <row r="451" spans="1:9">
      <c r="A451" s="5">
        <f t="shared" si="6"/>
        <v>450</v>
      </c>
      <c r="B451" s="6">
        <v>1021996</v>
      </c>
      <c r="C451" s="7"/>
      <c r="D451" s="8" t="s">
        <v>554</v>
      </c>
      <c r="E451" s="8" t="s">
        <v>54</v>
      </c>
      <c r="F451" s="8" t="s">
        <v>180</v>
      </c>
      <c r="G451" s="8" t="e">
        <v>#N/A</v>
      </c>
      <c r="H451" s="8" t="s">
        <v>180</v>
      </c>
      <c r="I451" s="8" t="s">
        <v>180</v>
      </c>
    </row>
    <row r="452" spans="1:9">
      <c r="A452" s="5">
        <f t="shared" si="6"/>
        <v>451</v>
      </c>
      <c r="B452" s="6">
        <v>1022012</v>
      </c>
      <c r="C452" s="7"/>
      <c r="D452" s="8" t="s">
        <v>555</v>
      </c>
      <c r="E452" s="8" t="s">
        <v>54</v>
      </c>
      <c r="F452" s="8" t="s">
        <v>180</v>
      </c>
      <c r="G452" s="8" t="e">
        <v>#N/A</v>
      </c>
      <c r="H452" s="8" t="s">
        <v>180</v>
      </c>
      <c r="I452" s="8" t="s">
        <v>180</v>
      </c>
    </row>
    <row r="453" spans="1:9">
      <c r="A453" s="5">
        <f t="shared" ref="A453:A495" si="7">A452+1</f>
        <v>452</v>
      </c>
      <c r="B453" s="6">
        <v>1022033</v>
      </c>
      <c r="C453" s="7"/>
      <c r="D453" s="8" t="s">
        <v>556</v>
      </c>
      <c r="E453" s="8" t="s">
        <v>54</v>
      </c>
      <c r="F453" s="8" t="s">
        <v>180</v>
      </c>
      <c r="G453" s="8" t="e">
        <v>#N/A</v>
      </c>
      <c r="H453" s="8" t="s">
        <v>180</v>
      </c>
      <c r="I453" s="8" t="s">
        <v>180</v>
      </c>
    </row>
    <row r="454" spans="1:9">
      <c r="A454" s="5">
        <f t="shared" si="7"/>
        <v>453</v>
      </c>
      <c r="B454" s="6">
        <v>1022058</v>
      </c>
      <c r="C454" s="7"/>
      <c r="D454" s="8" t="s">
        <v>557</v>
      </c>
      <c r="E454" s="8" t="s">
        <v>54</v>
      </c>
      <c r="F454" s="8" t="s">
        <v>180</v>
      </c>
      <c r="G454" s="8" t="e">
        <v>#N/A</v>
      </c>
      <c r="H454" s="8" t="s">
        <v>180</v>
      </c>
      <c r="I454" s="8" t="s">
        <v>180</v>
      </c>
    </row>
    <row r="455" spans="1:9">
      <c r="A455" s="5">
        <f t="shared" si="7"/>
        <v>454</v>
      </c>
      <c r="B455" s="6">
        <v>1021986</v>
      </c>
      <c r="C455" s="7"/>
      <c r="D455" s="8" t="s">
        <v>558</v>
      </c>
      <c r="E455" s="8" t="s">
        <v>54</v>
      </c>
      <c r="F455" s="8" t="s">
        <v>57</v>
      </c>
      <c r="G455" s="8" t="e">
        <v>#N/A</v>
      </c>
      <c r="H455" s="8" t="s">
        <v>57</v>
      </c>
      <c r="I455" s="8" t="s">
        <v>57</v>
      </c>
    </row>
    <row r="456" spans="1:9">
      <c r="A456" s="5">
        <f t="shared" si="7"/>
        <v>455</v>
      </c>
      <c r="B456" s="6">
        <v>1022003</v>
      </c>
      <c r="C456" s="7"/>
      <c r="D456" s="8" t="s">
        <v>559</v>
      </c>
      <c r="E456" s="8" t="s">
        <v>54</v>
      </c>
      <c r="F456" s="8" t="s">
        <v>95</v>
      </c>
      <c r="G456" s="8" t="e">
        <v>#N/A</v>
      </c>
      <c r="H456" s="8" t="s">
        <v>560</v>
      </c>
      <c r="I456" s="8" t="s">
        <v>560</v>
      </c>
    </row>
    <row r="457" spans="1:9">
      <c r="A457" s="5"/>
      <c r="B457" s="17">
        <v>1022081</v>
      </c>
      <c r="C457" s="16"/>
      <c r="D457" s="17" t="s">
        <v>561</v>
      </c>
      <c r="E457" s="8" t="s">
        <v>54</v>
      </c>
      <c r="F457" s="14" t="s">
        <v>240</v>
      </c>
      <c r="G457" s="14" t="s">
        <v>240</v>
      </c>
      <c r="H457" s="14" t="s">
        <v>240</v>
      </c>
      <c r="I457" s="14" t="s">
        <v>240</v>
      </c>
    </row>
    <row r="458" spans="1:9">
      <c r="A458" s="5">
        <f>A456+1</f>
        <v>456</v>
      </c>
      <c r="B458" s="6">
        <v>1022055</v>
      </c>
      <c r="C458" s="7"/>
      <c r="D458" s="8" t="s">
        <v>562</v>
      </c>
      <c r="E458" s="8" t="s">
        <v>54</v>
      </c>
      <c r="F458" s="8" t="s">
        <v>147</v>
      </c>
      <c r="G458" s="8" t="e">
        <v>#N/A</v>
      </c>
      <c r="H458" s="8" t="s">
        <v>563</v>
      </c>
      <c r="I458" s="8" t="s">
        <v>563</v>
      </c>
    </row>
    <row r="459" spans="1:9">
      <c r="A459" s="5">
        <f t="shared" si="7"/>
        <v>457</v>
      </c>
      <c r="B459" s="6">
        <v>1022066</v>
      </c>
      <c r="C459" s="7"/>
      <c r="D459" s="8" t="s">
        <v>564</v>
      </c>
      <c r="E459" s="8" t="s">
        <v>54</v>
      </c>
      <c r="F459" s="8" t="s">
        <v>90</v>
      </c>
      <c r="G459" s="8" t="e">
        <v>#N/A</v>
      </c>
      <c r="H459" s="8" t="s">
        <v>565</v>
      </c>
      <c r="I459" s="8" t="s">
        <v>565</v>
      </c>
    </row>
    <row r="460" spans="1:9">
      <c r="A460" s="5">
        <f t="shared" si="7"/>
        <v>458</v>
      </c>
      <c r="B460" s="5">
        <v>1022047</v>
      </c>
      <c r="C460" s="16"/>
      <c r="D460" s="5" t="s">
        <v>566</v>
      </c>
      <c r="E460" s="8" t="s">
        <v>54</v>
      </c>
      <c r="F460" s="8" t="s">
        <v>90</v>
      </c>
      <c r="G460" s="8" t="e">
        <v>#N/A</v>
      </c>
      <c r="H460" s="5" t="s">
        <v>90</v>
      </c>
      <c r="I460" s="5" t="s">
        <v>90</v>
      </c>
    </row>
    <row r="461" spans="1:9">
      <c r="A461" s="5">
        <f t="shared" si="7"/>
        <v>459</v>
      </c>
      <c r="B461" s="5">
        <v>1021742</v>
      </c>
      <c r="C461" s="16"/>
      <c r="D461" s="5" t="s">
        <v>567</v>
      </c>
      <c r="E461" s="8" t="s">
        <v>54</v>
      </c>
      <c r="F461" s="8" t="s">
        <v>90</v>
      </c>
      <c r="G461" s="8" t="s">
        <v>71</v>
      </c>
      <c r="H461" s="5" t="s">
        <v>371</v>
      </c>
      <c r="I461" s="5" t="s">
        <v>371</v>
      </c>
    </row>
    <row r="462" spans="1:9">
      <c r="A462" s="5">
        <f t="shared" si="7"/>
        <v>460</v>
      </c>
      <c r="B462" s="5">
        <v>1021759</v>
      </c>
      <c r="C462" s="16"/>
      <c r="D462" s="5" t="s">
        <v>568</v>
      </c>
      <c r="E462" s="8" t="s">
        <v>54</v>
      </c>
      <c r="F462" s="8" t="s">
        <v>90</v>
      </c>
      <c r="G462" s="8" t="s">
        <v>71</v>
      </c>
      <c r="H462" s="5" t="s">
        <v>371</v>
      </c>
      <c r="I462" s="5" t="s">
        <v>371</v>
      </c>
    </row>
    <row r="463" spans="1:9">
      <c r="A463" s="5">
        <f t="shared" si="7"/>
        <v>461</v>
      </c>
      <c r="B463" s="5">
        <v>1021929</v>
      </c>
      <c r="C463" s="16"/>
      <c r="D463" s="5" t="s">
        <v>569</v>
      </c>
      <c r="E463" s="8" t="s">
        <v>54</v>
      </c>
      <c r="F463" s="8" t="s">
        <v>110</v>
      </c>
      <c r="G463" s="8" t="s">
        <v>570</v>
      </c>
      <c r="H463" s="5" t="s">
        <v>126</v>
      </c>
      <c r="I463" s="5" t="s">
        <v>126</v>
      </c>
    </row>
    <row r="464" spans="1:9">
      <c r="A464" s="5">
        <f t="shared" si="7"/>
        <v>462</v>
      </c>
      <c r="B464" s="5">
        <v>1020553</v>
      </c>
      <c r="C464" s="16"/>
      <c r="D464" s="8" t="s">
        <v>571</v>
      </c>
      <c r="E464" s="8" t="s">
        <v>54</v>
      </c>
      <c r="F464" s="8" t="s">
        <v>110</v>
      </c>
      <c r="G464" s="17"/>
      <c r="H464" s="5" t="s">
        <v>126</v>
      </c>
      <c r="I464" s="5" t="s">
        <v>126</v>
      </c>
    </row>
    <row r="465" spans="1:9">
      <c r="A465" s="5">
        <f t="shared" si="7"/>
        <v>463</v>
      </c>
      <c r="B465" s="5">
        <v>1021069</v>
      </c>
      <c r="C465" s="16"/>
      <c r="D465" s="5" t="s">
        <v>572</v>
      </c>
      <c r="E465" s="8" t="s">
        <v>54</v>
      </c>
      <c r="F465" s="8" t="s">
        <v>90</v>
      </c>
      <c r="G465" s="5" t="s">
        <v>71</v>
      </c>
      <c r="H465" s="5" t="s">
        <v>371</v>
      </c>
      <c r="I465" s="5" t="s">
        <v>371</v>
      </c>
    </row>
    <row r="466" spans="1:9">
      <c r="A466" s="5">
        <f t="shared" si="7"/>
        <v>464</v>
      </c>
      <c r="B466" s="5">
        <v>1021641</v>
      </c>
      <c r="C466" s="16"/>
      <c r="D466" s="5" t="s">
        <v>573</v>
      </c>
      <c r="E466" s="8" t="s">
        <v>54</v>
      </c>
      <c r="F466" s="8" t="s">
        <v>90</v>
      </c>
      <c r="G466" s="5" t="s">
        <v>71</v>
      </c>
      <c r="H466" s="5" t="s">
        <v>371</v>
      </c>
      <c r="I466" s="5" t="s">
        <v>371</v>
      </c>
    </row>
    <row r="467" spans="1:9">
      <c r="A467" s="5">
        <f t="shared" si="7"/>
        <v>465</v>
      </c>
      <c r="B467" s="5">
        <v>1021657</v>
      </c>
      <c r="C467" s="16"/>
      <c r="D467" s="5" t="s">
        <v>574</v>
      </c>
      <c r="E467" s="8" t="s">
        <v>54</v>
      </c>
      <c r="F467" s="8" t="s">
        <v>90</v>
      </c>
      <c r="G467" s="5" t="s">
        <v>71</v>
      </c>
      <c r="H467" s="5" t="s">
        <v>371</v>
      </c>
      <c r="I467" s="5" t="s">
        <v>371</v>
      </c>
    </row>
    <row r="468" spans="1:9">
      <c r="A468" s="5">
        <f t="shared" si="7"/>
        <v>466</v>
      </c>
      <c r="B468" s="5">
        <v>1021727</v>
      </c>
      <c r="C468" s="16"/>
      <c r="D468" s="5" t="s">
        <v>575</v>
      </c>
      <c r="E468" s="8" t="s">
        <v>54</v>
      </c>
      <c r="F468" s="8" t="s">
        <v>90</v>
      </c>
      <c r="G468" s="5" t="s">
        <v>71</v>
      </c>
      <c r="H468" s="5" t="s">
        <v>371</v>
      </c>
      <c r="I468" s="5" t="s">
        <v>371</v>
      </c>
    </row>
    <row r="469" spans="1:9">
      <c r="A469" s="5">
        <f t="shared" si="7"/>
        <v>467</v>
      </c>
      <c r="B469" s="5">
        <v>1021515</v>
      </c>
      <c r="C469" s="16"/>
      <c r="D469" s="5" t="s">
        <v>576</v>
      </c>
      <c r="E469" s="8" t="s">
        <v>54</v>
      </c>
      <c r="F469" s="5" t="s">
        <v>70</v>
      </c>
      <c r="G469" s="5" t="s">
        <v>71</v>
      </c>
      <c r="H469" s="5" t="s">
        <v>70</v>
      </c>
      <c r="I469" s="5" t="s">
        <v>70</v>
      </c>
    </row>
    <row r="470" spans="1:9">
      <c r="A470" s="5">
        <f t="shared" si="7"/>
        <v>468</v>
      </c>
      <c r="B470" s="5">
        <v>1019454</v>
      </c>
      <c r="C470" s="16"/>
      <c r="D470" s="5" t="s">
        <v>577</v>
      </c>
      <c r="E470" s="8" t="s">
        <v>54</v>
      </c>
      <c r="F470" s="5" t="s">
        <v>70</v>
      </c>
      <c r="G470" s="5" t="s">
        <v>71</v>
      </c>
      <c r="H470" s="5" t="s">
        <v>70</v>
      </c>
      <c r="I470" s="5" t="s">
        <v>70</v>
      </c>
    </row>
    <row r="471" spans="1:9">
      <c r="A471" s="5">
        <f t="shared" si="7"/>
        <v>469</v>
      </c>
      <c r="B471" s="5">
        <v>1021444</v>
      </c>
      <c r="C471" s="16"/>
      <c r="D471" s="5" t="s">
        <v>578</v>
      </c>
      <c r="E471" s="8" t="s">
        <v>54</v>
      </c>
      <c r="F471" s="8" t="s">
        <v>90</v>
      </c>
      <c r="G471" s="5" t="s">
        <v>579</v>
      </c>
      <c r="H471" s="5" t="s">
        <v>90</v>
      </c>
      <c r="I471" s="5" t="s">
        <v>90</v>
      </c>
    </row>
    <row r="472" spans="1:9">
      <c r="A472" s="5">
        <f t="shared" si="7"/>
        <v>470</v>
      </c>
      <c r="B472" s="5">
        <v>1021505</v>
      </c>
      <c r="C472" s="16"/>
      <c r="D472" s="5" t="s">
        <v>580</v>
      </c>
      <c r="E472" s="8" t="s">
        <v>54</v>
      </c>
      <c r="F472" s="8" t="s">
        <v>90</v>
      </c>
      <c r="G472" s="5" t="s">
        <v>579</v>
      </c>
      <c r="H472" s="5" t="s">
        <v>371</v>
      </c>
      <c r="I472" s="5" t="s">
        <v>371</v>
      </c>
    </row>
    <row r="473" spans="1:9">
      <c r="A473" s="5">
        <f t="shared" si="7"/>
        <v>471</v>
      </c>
      <c r="B473" s="5">
        <v>1021503</v>
      </c>
      <c r="C473" s="16"/>
      <c r="D473" s="5" t="s">
        <v>581</v>
      </c>
      <c r="E473" s="8" t="s">
        <v>54</v>
      </c>
      <c r="F473" s="8" t="s">
        <v>90</v>
      </c>
      <c r="G473" s="5" t="s">
        <v>579</v>
      </c>
      <c r="H473" s="5" t="s">
        <v>371</v>
      </c>
      <c r="I473" s="5" t="s">
        <v>371</v>
      </c>
    </row>
    <row r="474" spans="1:9">
      <c r="A474" s="5">
        <f t="shared" si="7"/>
        <v>472</v>
      </c>
      <c r="B474" s="5">
        <v>1021919</v>
      </c>
      <c r="C474" s="16"/>
      <c r="D474" s="5" t="s">
        <v>582</v>
      </c>
      <c r="E474" s="8" t="s">
        <v>54</v>
      </c>
      <c r="F474" s="8" t="s">
        <v>90</v>
      </c>
      <c r="G474" s="5" t="s">
        <v>315</v>
      </c>
      <c r="H474" s="5" t="s">
        <v>371</v>
      </c>
      <c r="I474" s="5" t="s">
        <v>371</v>
      </c>
    </row>
    <row r="475" spans="1:9">
      <c r="A475" s="5">
        <f t="shared" si="7"/>
        <v>473</v>
      </c>
      <c r="B475" s="25">
        <v>1005162</v>
      </c>
      <c r="C475" s="16"/>
      <c r="D475" s="14" t="s">
        <v>583</v>
      </c>
      <c r="E475" s="8" t="s">
        <v>54</v>
      </c>
      <c r="F475" s="14" t="s">
        <v>584</v>
      </c>
      <c r="G475" s="14" t="s">
        <v>585</v>
      </c>
      <c r="H475" s="14" t="s">
        <v>586</v>
      </c>
      <c r="I475" s="14" t="s">
        <v>586</v>
      </c>
    </row>
    <row r="476" spans="1:9">
      <c r="A476" s="5">
        <f t="shared" si="7"/>
        <v>474</v>
      </c>
      <c r="B476" s="25">
        <v>1005174</v>
      </c>
      <c r="C476" s="16"/>
      <c r="D476" s="14" t="s">
        <v>587</v>
      </c>
      <c r="E476" s="8" t="s">
        <v>54</v>
      </c>
      <c r="F476" s="14" t="s">
        <v>584</v>
      </c>
      <c r="G476" s="14" t="s">
        <v>585</v>
      </c>
      <c r="H476" s="14" t="s">
        <v>586</v>
      </c>
      <c r="I476" s="14" t="s">
        <v>586</v>
      </c>
    </row>
    <row r="477" spans="1:9">
      <c r="A477" s="5">
        <f t="shared" si="7"/>
        <v>475</v>
      </c>
      <c r="B477" s="25">
        <v>1019059</v>
      </c>
      <c r="C477" s="16"/>
      <c r="D477" s="14" t="s">
        <v>588</v>
      </c>
      <c r="E477" s="8" t="s">
        <v>54</v>
      </c>
      <c r="F477" s="14" t="s">
        <v>584</v>
      </c>
      <c r="G477" s="14" t="s">
        <v>585</v>
      </c>
      <c r="H477" s="14" t="s">
        <v>586</v>
      </c>
      <c r="I477" s="14" t="s">
        <v>586</v>
      </c>
    </row>
    <row r="478" spans="1:9">
      <c r="A478" s="5">
        <f t="shared" si="7"/>
        <v>476</v>
      </c>
      <c r="B478" s="25">
        <v>1019646</v>
      </c>
      <c r="C478" s="16"/>
      <c r="D478" s="14" t="s">
        <v>589</v>
      </c>
      <c r="E478" s="8" t="s">
        <v>54</v>
      </c>
      <c r="F478" s="14" t="s">
        <v>584</v>
      </c>
      <c r="G478" s="14" t="s">
        <v>585</v>
      </c>
      <c r="H478" s="14" t="s">
        <v>586</v>
      </c>
      <c r="I478" s="14" t="s">
        <v>586</v>
      </c>
    </row>
    <row r="479" spans="1:9">
      <c r="A479" s="5">
        <f t="shared" si="7"/>
        <v>477</v>
      </c>
      <c r="B479" s="25">
        <v>1020180</v>
      </c>
      <c r="C479" s="16"/>
      <c r="D479" s="14" t="s">
        <v>590</v>
      </c>
      <c r="E479" s="8" t="s">
        <v>54</v>
      </c>
      <c r="F479" s="14" t="s">
        <v>584</v>
      </c>
      <c r="G479" s="14" t="s">
        <v>585</v>
      </c>
      <c r="H479" s="14" t="s">
        <v>586</v>
      </c>
      <c r="I479" s="14" t="s">
        <v>586</v>
      </c>
    </row>
    <row r="480" spans="1:9">
      <c r="A480" s="5">
        <f t="shared" si="7"/>
        <v>478</v>
      </c>
      <c r="B480" s="25">
        <v>1021194</v>
      </c>
      <c r="C480" s="16"/>
      <c r="D480" s="14" t="s">
        <v>591</v>
      </c>
      <c r="E480" s="8" t="s">
        <v>54</v>
      </c>
      <c r="F480" s="14" t="s">
        <v>584</v>
      </c>
      <c r="G480" s="14" t="s">
        <v>585</v>
      </c>
      <c r="H480" s="14" t="s">
        <v>586</v>
      </c>
      <c r="I480" s="14" t="s">
        <v>586</v>
      </c>
    </row>
    <row r="481" spans="1:9">
      <c r="A481" s="5">
        <f t="shared" si="7"/>
        <v>479</v>
      </c>
      <c r="B481" s="25" t="s">
        <v>592</v>
      </c>
      <c r="C481" s="16"/>
      <c r="D481" s="14" t="s">
        <v>593</v>
      </c>
      <c r="E481" s="8" t="s">
        <v>54</v>
      </c>
      <c r="F481" s="14" t="s">
        <v>584</v>
      </c>
      <c r="G481" s="14" t="s">
        <v>594</v>
      </c>
      <c r="H481" s="14" t="s">
        <v>586</v>
      </c>
      <c r="I481" s="14" t="s">
        <v>586</v>
      </c>
    </row>
    <row r="482" spans="1:9">
      <c r="A482" s="5">
        <f t="shared" si="7"/>
        <v>480</v>
      </c>
      <c r="B482" s="25" t="s">
        <v>592</v>
      </c>
      <c r="C482" s="16"/>
      <c r="D482" s="14" t="s">
        <v>595</v>
      </c>
      <c r="E482" s="8" t="s">
        <v>54</v>
      </c>
      <c r="F482" s="14" t="s">
        <v>584</v>
      </c>
      <c r="G482" s="14" t="s">
        <v>594</v>
      </c>
      <c r="H482" s="14" t="s">
        <v>586</v>
      </c>
      <c r="I482" s="14" t="s">
        <v>586</v>
      </c>
    </row>
    <row r="483" spans="1:9">
      <c r="A483" s="5">
        <f t="shared" si="7"/>
        <v>481</v>
      </c>
      <c r="B483" s="25">
        <v>4000455</v>
      </c>
      <c r="C483" s="16"/>
      <c r="D483" s="14" t="s">
        <v>596</v>
      </c>
      <c r="E483" s="8" t="s">
        <v>54</v>
      </c>
      <c r="F483" s="14" t="s">
        <v>584</v>
      </c>
      <c r="G483" s="14" t="s">
        <v>585</v>
      </c>
      <c r="H483" s="14" t="s">
        <v>586</v>
      </c>
      <c r="I483" s="14" t="s">
        <v>586</v>
      </c>
    </row>
    <row r="484" spans="1:9">
      <c r="A484" s="5">
        <f t="shared" si="7"/>
        <v>482</v>
      </c>
      <c r="B484" s="25">
        <v>4000457</v>
      </c>
      <c r="C484" s="16"/>
      <c r="D484" s="14" t="s">
        <v>597</v>
      </c>
      <c r="E484" s="8" t="s">
        <v>54</v>
      </c>
      <c r="F484" s="14" t="s">
        <v>584</v>
      </c>
      <c r="G484" s="14" t="s">
        <v>585</v>
      </c>
      <c r="H484" s="14" t="s">
        <v>586</v>
      </c>
      <c r="I484" s="14" t="s">
        <v>586</v>
      </c>
    </row>
    <row r="485" spans="1:9">
      <c r="A485" s="5">
        <f t="shared" si="7"/>
        <v>483</v>
      </c>
      <c r="B485" s="25">
        <v>1021819</v>
      </c>
      <c r="C485" s="16"/>
      <c r="D485" s="14" t="s">
        <v>598</v>
      </c>
      <c r="E485" s="8" t="s">
        <v>54</v>
      </c>
      <c r="F485" s="14" t="s">
        <v>599</v>
      </c>
      <c r="G485" s="14" t="s">
        <v>600</v>
      </c>
      <c r="H485" s="14" t="s">
        <v>599</v>
      </c>
      <c r="I485" s="14" t="s">
        <v>599</v>
      </c>
    </row>
    <row r="486" spans="1:9">
      <c r="A486" s="5">
        <f t="shared" si="7"/>
        <v>484</v>
      </c>
      <c r="B486" s="25">
        <v>1021821</v>
      </c>
      <c r="C486" s="16"/>
      <c r="D486" s="14" t="s">
        <v>601</v>
      </c>
      <c r="E486" s="8" t="s">
        <v>54</v>
      </c>
      <c r="F486" s="14" t="s">
        <v>599</v>
      </c>
      <c r="G486" s="14" t="s">
        <v>600</v>
      </c>
      <c r="H486" s="14" t="s">
        <v>599</v>
      </c>
      <c r="I486" s="14" t="s">
        <v>599</v>
      </c>
    </row>
    <row r="487" spans="1:9">
      <c r="A487" s="5">
        <f t="shared" si="7"/>
        <v>485</v>
      </c>
      <c r="B487" s="25">
        <v>1019748</v>
      </c>
      <c r="C487" s="16"/>
      <c r="D487" s="14" t="s">
        <v>602</v>
      </c>
      <c r="E487" s="8" t="s">
        <v>54</v>
      </c>
      <c r="F487" s="14" t="s">
        <v>599</v>
      </c>
      <c r="G487" s="14" t="s">
        <v>600</v>
      </c>
      <c r="H487" s="14" t="s">
        <v>599</v>
      </c>
      <c r="I487" s="14" t="s">
        <v>599</v>
      </c>
    </row>
    <row r="488" spans="1:9">
      <c r="A488" s="5">
        <f t="shared" si="7"/>
        <v>486</v>
      </c>
      <c r="B488" s="25">
        <v>1020451</v>
      </c>
      <c r="C488" s="16"/>
      <c r="D488" s="14" t="s">
        <v>603</v>
      </c>
      <c r="E488" s="8" t="s">
        <v>54</v>
      </c>
      <c r="F488" s="14" t="s">
        <v>599</v>
      </c>
      <c r="G488" s="14" t="s">
        <v>600</v>
      </c>
      <c r="H488" s="14" t="s">
        <v>599</v>
      </c>
      <c r="I488" s="14" t="s">
        <v>599</v>
      </c>
    </row>
    <row r="489" spans="1:9">
      <c r="A489" s="5">
        <f t="shared" si="7"/>
        <v>487</v>
      </c>
      <c r="B489" s="25">
        <v>1020466</v>
      </c>
      <c r="C489" s="16"/>
      <c r="D489" s="14" t="s">
        <v>604</v>
      </c>
      <c r="E489" s="8" t="s">
        <v>54</v>
      </c>
      <c r="F489" s="14" t="s">
        <v>599</v>
      </c>
      <c r="G489" s="14" t="s">
        <v>600</v>
      </c>
      <c r="H489" s="14" t="s">
        <v>599</v>
      </c>
      <c r="I489" s="14" t="s">
        <v>599</v>
      </c>
    </row>
    <row r="490" spans="1:9">
      <c r="A490" s="5">
        <f t="shared" si="7"/>
        <v>488</v>
      </c>
      <c r="B490" s="25">
        <v>1020528</v>
      </c>
      <c r="C490" s="16"/>
      <c r="D490" s="14" t="s">
        <v>605</v>
      </c>
      <c r="E490" s="8" t="s">
        <v>54</v>
      </c>
      <c r="F490" s="14" t="s">
        <v>599</v>
      </c>
      <c r="G490" s="14" t="s">
        <v>600</v>
      </c>
      <c r="H490" s="14" t="s">
        <v>599</v>
      </c>
      <c r="I490" s="14" t="s">
        <v>599</v>
      </c>
    </row>
    <row r="491" spans="1:9">
      <c r="A491" s="5">
        <f t="shared" si="7"/>
        <v>489</v>
      </c>
      <c r="B491" s="25">
        <v>1021525</v>
      </c>
      <c r="C491" s="16"/>
      <c r="D491" s="14" t="s">
        <v>606</v>
      </c>
      <c r="E491" s="8" t="s">
        <v>54</v>
      </c>
      <c r="F491" s="14" t="s">
        <v>599</v>
      </c>
      <c r="G491" s="14" t="s">
        <v>600</v>
      </c>
      <c r="H491" s="14" t="s">
        <v>599</v>
      </c>
      <c r="I491" s="14" t="s">
        <v>599</v>
      </c>
    </row>
    <row r="492" spans="1:9">
      <c r="A492" s="5">
        <f t="shared" si="7"/>
        <v>490</v>
      </c>
      <c r="B492" s="25">
        <v>1018039</v>
      </c>
      <c r="C492" s="16"/>
      <c r="D492" s="14" t="s">
        <v>607</v>
      </c>
      <c r="E492" s="8" t="s">
        <v>54</v>
      </c>
      <c r="F492" s="14" t="s">
        <v>599</v>
      </c>
      <c r="G492" s="14" t="s">
        <v>600</v>
      </c>
      <c r="H492" s="14" t="s">
        <v>599</v>
      </c>
      <c r="I492" s="14" t="s">
        <v>599</v>
      </c>
    </row>
    <row r="493" spans="1:9">
      <c r="A493" s="5">
        <f t="shared" si="7"/>
        <v>491</v>
      </c>
      <c r="B493" s="25">
        <v>1020740</v>
      </c>
      <c r="C493" s="16"/>
      <c r="D493" s="14" t="s">
        <v>608</v>
      </c>
      <c r="E493" s="8" t="s">
        <v>54</v>
      </c>
      <c r="F493" s="14" t="s">
        <v>599</v>
      </c>
      <c r="G493" s="14" t="s">
        <v>600</v>
      </c>
      <c r="H493" s="14" t="s">
        <v>599</v>
      </c>
      <c r="I493" s="14" t="s">
        <v>599</v>
      </c>
    </row>
    <row r="494" spans="1:9">
      <c r="A494" s="5">
        <f t="shared" si="7"/>
        <v>492</v>
      </c>
      <c r="B494" s="25">
        <v>1022014</v>
      </c>
      <c r="C494" s="16"/>
      <c r="D494" s="14" t="s">
        <v>609</v>
      </c>
      <c r="E494" s="8" t="s">
        <v>54</v>
      </c>
      <c r="F494" s="14" t="s">
        <v>599</v>
      </c>
      <c r="G494" s="14" t="s">
        <v>600</v>
      </c>
      <c r="H494" s="14" t="s">
        <v>599</v>
      </c>
      <c r="I494" s="14" t="s">
        <v>599</v>
      </c>
    </row>
    <row r="495" spans="1:9">
      <c r="A495" s="5">
        <f t="shared" si="7"/>
        <v>493</v>
      </c>
      <c r="B495" s="25" t="s">
        <v>592</v>
      </c>
      <c r="C495" s="16"/>
      <c r="D495" s="14" t="s">
        <v>610</v>
      </c>
      <c r="E495" s="8" t="s">
        <v>54</v>
      </c>
      <c r="F495" s="14" t="s">
        <v>611</v>
      </c>
      <c r="G495" s="14" t="s">
        <v>611</v>
      </c>
      <c r="H495" s="14" t="s">
        <v>611</v>
      </c>
      <c r="I495" s="14" t="s">
        <v>611</v>
      </c>
    </row>
  </sheetData>
  <sheetProtection algorithmName="SHA-512" hashValue="Hkw930fhlmp89+oM1L6ss2RqAWh6mdRj5Kik0hM3ZDOFl6HPlFebHv09zQ4DT2fnD2hCcjoqPRTH9V/qSqRCDw==" saltValue="T6sriIgCuBg2fQIItRtlag==" spinCount="100000" sheet="1" objects="1" scenarios="1"/>
  <conditionalFormatting sqref="B1:B428 B430:B456 B458:B474">
    <cfRule type="duplicateValues" dxfId="46" priority="30"/>
  </conditionalFormatting>
  <conditionalFormatting sqref="B1:B456 B458:B493">
    <cfRule type="duplicateValues" dxfId="45" priority="14"/>
  </conditionalFormatting>
  <conditionalFormatting sqref="B1:B456 B458:B495">
    <cfRule type="duplicateValues" dxfId="44" priority="3"/>
  </conditionalFormatting>
  <conditionalFormatting sqref="B1:B495">
    <cfRule type="duplicateValues" dxfId="43" priority="1"/>
  </conditionalFormatting>
  <conditionalFormatting sqref="B429">
    <cfRule type="duplicateValues" dxfId="42" priority="15"/>
  </conditionalFormatting>
  <conditionalFormatting sqref="B430:B456 B1:B428 B458:B493">
    <cfRule type="duplicateValues" dxfId="41" priority="16"/>
    <cfRule type="duplicateValues" dxfId="40" priority="17"/>
  </conditionalFormatting>
  <conditionalFormatting sqref="B475:B484">
    <cfRule type="duplicateValues" dxfId="39" priority="25"/>
    <cfRule type="duplicateValues" dxfId="38" priority="26"/>
    <cfRule type="duplicateValues" dxfId="37" priority="27"/>
    <cfRule type="duplicateValues" dxfId="36" priority="28"/>
    <cfRule type="duplicateValues" dxfId="35" priority="29"/>
  </conditionalFormatting>
  <conditionalFormatting sqref="B485:B493">
    <cfRule type="duplicateValues" dxfId="34" priority="19"/>
    <cfRule type="duplicateValues" dxfId="33" priority="20"/>
    <cfRule type="duplicateValues" dxfId="32" priority="21"/>
    <cfRule type="duplicateValues" dxfId="31" priority="22"/>
    <cfRule type="duplicateValues" dxfId="30" priority="23"/>
  </conditionalFormatting>
  <conditionalFormatting sqref="B494:B495">
    <cfRule type="duplicateValues" dxfId="29" priority="4"/>
    <cfRule type="duplicateValues" dxfId="28" priority="5"/>
    <cfRule type="duplicateValues" dxfId="27" priority="6"/>
    <cfRule type="duplicateValues" dxfId="26" priority="8"/>
    <cfRule type="duplicateValues" dxfId="25" priority="9"/>
    <cfRule type="duplicateValues" dxfId="24" priority="10"/>
    <cfRule type="duplicateValues" dxfId="23" priority="11"/>
    <cfRule type="duplicateValues" dxfId="22" priority="12"/>
  </conditionalFormatting>
  <conditionalFormatting sqref="C373:C375">
    <cfRule type="duplicateValues" dxfId="21" priority="45"/>
  </conditionalFormatting>
  <conditionalFormatting sqref="C445">
    <cfRule type="duplicateValues" dxfId="20" priority="44"/>
  </conditionalFormatting>
  <conditionalFormatting sqref="C446">
    <cfRule type="duplicateValues" dxfId="19" priority="43"/>
  </conditionalFormatting>
  <conditionalFormatting sqref="C447">
    <cfRule type="duplicateValues" dxfId="18" priority="41"/>
  </conditionalFormatting>
  <conditionalFormatting sqref="C448:C449">
    <cfRule type="duplicateValues" dxfId="17" priority="39"/>
  </conditionalFormatting>
  <conditionalFormatting sqref="C450:C454">
    <cfRule type="duplicateValues" dxfId="16" priority="37"/>
  </conditionalFormatting>
  <conditionalFormatting sqref="C455">
    <cfRule type="duplicateValues" dxfId="15" priority="35"/>
  </conditionalFormatting>
  <conditionalFormatting sqref="C456 C458:C459">
    <cfRule type="duplicateValues" dxfId="14" priority="33"/>
  </conditionalFormatting>
  <conditionalFormatting sqref="C457">
    <cfRule type="duplicateValues" dxfId="13" priority="2"/>
  </conditionalFormatting>
  <conditionalFormatting sqref="C464:C493 C376 C1:C372 C411 C439:C444 C435:C436 C415:C420 C379:C409 C422:C433 C460">
    <cfRule type="duplicateValues" dxfId="12" priority="47"/>
  </conditionalFormatting>
  <conditionalFormatting sqref="C494:C495">
    <cfRule type="duplicateValues" dxfId="11" priority="13"/>
  </conditionalFormatting>
  <conditionalFormatting sqref="D269">
    <cfRule type="duplicateValues" dxfId="10" priority="46"/>
  </conditionalFormatting>
  <conditionalFormatting sqref="D446">
    <cfRule type="duplicateValues" dxfId="9" priority="42"/>
  </conditionalFormatting>
  <conditionalFormatting sqref="D447">
    <cfRule type="duplicateValues" dxfId="8" priority="40"/>
  </conditionalFormatting>
  <conditionalFormatting sqref="D448:D449">
    <cfRule type="duplicateValues" dxfId="7" priority="38"/>
  </conditionalFormatting>
  <conditionalFormatting sqref="D450:D454">
    <cfRule type="duplicateValues" dxfId="6" priority="36"/>
  </conditionalFormatting>
  <conditionalFormatting sqref="D455">
    <cfRule type="duplicateValues" dxfId="5" priority="34"/>
  </conditionalFormatting>
  <conditionalFormatting sqref="D456 D458:D459">
    <cfRule type="duplicateValues" dxfId="4" priority="32"/>
  </conditionalFormatting>
  <conditionalFormatting sqref="D464">
    <cfRule type="duplicateValues" dxfId="3" priority="31"/>
  </conditionalFormatting>
  <conditionalFormatting sqref="D475:D484">
    <cfRule type="duplicateValues" dxfId="2" priority="24"/>
  </conditionalFormatting>
  <conditionalFormatting sqref="D485:D493">
    <cfRule type="duplicateValues" dxfId="1" priority="18"/>
  </conditionalFormatting>
  <conditionalFormatting sqref="D494:D495">
    <cfRule type="duplicateValues" dxfId="0" priority="7"/>
  </conditionalFormatting>
  <dataValidations count="1">
    <dataValidation type="whole" allowBlank="1" showInputMessage="1" showErrorMessage="1" errorTitle="Hi" error="Please Check your Employee Id is wrong" sqref="B447" xr:uid="{AE06CB17-E0AD-420E-AACA-B2C7489EB998}">
      <formula1>1000000</formula1>
      <formula2>1234567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Kalpana Shanmugam</dc:creator>
  <cp:keywords/>
  <dc:description/>
  <cp:lastModifiedBy>Srikanta Mishra (EXT-Nokia)</cp:lastModifiedBy>
  <cp:revision/>
  <dcterms:created xsi:type="dcterms:W3CDTF">2018-12-27T08:23:58Z</dcterms:created>
  <dcterms:modified xsi:type="dcterms:W3CDTF">2026-08-10T05:57:21Z</dcterms:modified>
  <cp:category/>
  <cp:contentStatus/>
</cp:coreProperties>
</file>